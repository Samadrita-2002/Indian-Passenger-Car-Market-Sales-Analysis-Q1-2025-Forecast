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D:\Samadrita\Learning Data Analytics\Projects\Indian Auto Market Sales Trend Analysis\"/>
    </mc:Choice>
  </mc:AlternateContent>
  <xr:revisionPtr revIDLastSave="0" documentId="13_ncr:1_{917A5603-0441-4A19-8D95-52B2AB52C9F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mputed Sheet" sheetId="2" r:id="rId1"/>
    <sheet name="Model-wise Total Sales" sheetId="3" r:id="rId2"/>
    <sheet name="Forecasts" sheetId="9" r:id="rId3"/>
    <sheet name="per month market share by brand" sheetId="4" r:id="rId4"/>
    <sheet name="MoM growth rate for each brand" sheetId="5" r:id="rId5"/>
    <sheet name="Brand Rank by annual sales" sheetId="6" r:id="rId6"/>
    <sheet name="q1_vs_q4 growth" sheetId="7" r:id="rId7"/>
    <sheet name="top model of each brand" sheetId="8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8" i="2" l="1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B2349B-30EA-4CDC-97A3-EA0F4C589AF2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<sst xmlns="http://schemas.openxmlformats.org/spreadsheetml/2006/main" count="1270" uniqueCount="174">
  <si>
    <t>Model</t>
  </si>
  <si>
    <t>Citroen</t>
  </si>
  <si>
    <t>C3</t>
  </si>
  <si>
    <t>Aircross</t>
  </si>
  <si>
    <t>C5 Aircross</t>
  </si>
  <si>
    <t>e-C3</t>
  </si>
  <si>
    <t>Honda</t>
  </si>
  <si>
    <t>Amaze</t>
  </si>
  <si>
    <t>City</t>
  </si>
  <si>
    <t>C2</t>
  </si>
  <si>
    <t>Sedan</t>
  </si>
  <si>
    <t>Elevate</t>
  </si>
  <si>
    <t>Hyundai</t>
  </si>
  <si>
    <t>Alcazar</t>
  </si>
  <si>
    <t>Creta</t>
  </si>
  <si>
    <t>Exter</t>
  </si>
  <si>
    <t>i20</t>
  </si>
  <si>
    <t>B2</t>
  </si>
  <si>
    <t>Premium</t>
  </si>
  <si>
    <t>Kona</t>
  </si>
  <si>
    <t>Tucson</t>
  </si>
  <si>
    <t>Venue</t>
  </si>
  <si>
    <t>Verna</t>
  </si>
  <si>
    <t>Jeep</t>
  </si>
  <si>
    <t>Compass</t>
  </si>
  <si>
    <t>Meridian</t>
  </si>
  <si>
    <t>Kia</t>
  </si>
  <si>
    <t>Carens</t>
  </si>
  <si>
    <t>Carnival</t>
  </si>
  <si>
    <t>MUV</t>
  </si>
  <si>
    <t>EV6</t>
  </si>
  <si>
    <t>Seltos</t>
  </si>
  <si>
    <t>Sonet</t>
  </si>
  <si>
    <t>Wrangler</t>
  </si>
  <si>
    <t>April</t>
  </si>
  <si>
    <t>January</t>
  </si>
  <si>
    <t>February</t>
  </si>
  <si>
    <t>March</t>
  </si>
  <si>
    <t>May</t>
  </si>
  <si>
    <t>June</t>
  </si>
  <si>
    <t>Segment</t>
  </si>
  <si>
    <t>MoM %</t>
  </si>
  <si>
    <t>Ioniq 5</t>
  </si>
  <si>
    <t>C1</t>
  </si>
  <si>
    <t>D2</t>
  </si>
  <si>
    <t>D1</t>
  </si>
  <si>
    <t>SUV</t>
  </si>
  <si>
    <t>Hatchback</t>
  </si>
  <si>
    <t>Basalt</t>
  </si>
  <si>
    <t>Aura</t>
  </si>
  <si>
    <t>Utility</t>
  </si>
  <si>
    <t>Mahindra</t>
  </si>
  <si>
    <t>Bolero</t>
  </si>
  <si>
    <t>Marazzo</t>
  </si>
  <si>
    <t>Scorpio</t>
  </si>
  <si>
    <t>Thar</t>
  </si>
  <si>
    <t>XUV300, XUV 3X0</t>
  </si>
  <si>
    <t>XUV400</t>
  </si>
  <si>
    <t>XUV700</t>
  </si>
  <si>
    <t>Maruti</t>
  </si>
  <si>
    <t>Alto</t>
  </si>
  <si>
    <t>A</t>
  </si>
  <si>
    <t>Baleno</t>
  </si>
  <si>
    <t>Brezza</t>
  </si>
  <si>
    <t>Celerio</t>
  </si>
  <si>
    <t>B1</t>
  </si>
  <si>
    <t>Ciaz</t>
  </si>
  <si>
    <t>Eeco</t>
  </si>
  <si>
    <t>Ertiga</t>
  </si>
  <si>
    <t>Fronx</t>
  </si>
  <si>
    <t>Grand Vitara</t>
  </si>
  <si>
    <t>Ignis</t>
  </si>
  <si>
    <t>Invicto</t>
  </si>
  <si>
    <t>Jimny</t>
  </si>
  <si>
    <t>S-Presso</t>
  </si>
  <si>
    <t>Swift</t>
  </si>
  <si>
    <t>WagonR</t>
  </si>
  <si>
    <t>XL6</t>
  </si>
  <si>
    <t>MG</t>
  </si>
  <si>
    <t>Astor</t>
  </si>
  <si>
    <t>Comet</t>
  </si>
  <si>
    <t>Gloster</t>
  </si>
  <si>
    <t>Hector</t>
  </si>
  <si>
    <t>Windsor</t>
  </si>
  <si>
    <t>ZS EV</t>
  </si>
  <si>
    <t>Nissan</t>
  </si>
  <si>
    <t>Magnite</t>
  </si>
  <si>
    <t>X-Trail</t>
  </si>
  <si>
    <t>Renault</t>
  </si>
  <si>
    <t>Kiger</t>
  </si>
  <si>
    <t>Kwid</t>
  </si>
  <si>
    <t>Triber</t>
  </si>
  <si>
    <t>Skoda</t>
  </si>
  <si>
    <t>Kodiaq</t>
  </si>
  <si>
    <t>Kushaq</t>
  </si>
  <si>
    <t>Slavia</t>
  </si>
  <si>
    <t>Superb</t>
  </si>
  <si>
    <t>Tata</t>
  </si>
  <si>
    <t>Altroz</t>
  </si>
  <si>
    <t>Curvv</t>
  </si>
  <si>
    <t>Harrier</t>
  </si>
  <si>
    <t>Nexon</t>
  </si>
  <si>
    <t>Punch</t>
  </si>
  <si>
    <t>Safari</t>
  </si>
  <si>
    <t>Tiago</t>
  </si>
  <si>
    <t>Tigor</t>
  </si>
  <si>
    <t>Toyota</t>
  </si>
  <si>
    <t>Camry</t>
  </si>
  <si>
    <t>Fortuner</t>
  </si>
  <si>
    <t>Glanza</t>
  </si>
  <si>
    <t>Hilux</t>
  </si>
  <si>
    <t>Others</t>
  </si>
  <si>
    <t>Hyryder</t>
  </si>
  <si>
    <t>Innova Crysta, Innova Hycross</t>
  </si>
  <si>
    <t>Land Cruiser</t>
  </si>
  <si>
    <t>Rumion</t>
  </si>
  <si>
    <t xml:space="preserve">
Utility</t>
  </si>
  <si>
    <t>Taisor</t>
  </si>
  <si>
    <t>Vellfire</t>
  </si>
  <si>
    <t>Volkswagen</t>
  </si>
  <si>
    <t>Taigun</t>
  </si>
  <si>
    <t>Tiguan</t>
  </si>
  <si>
    <t>Virtus</t>
  </si>
  <si>
    <t>Body Type</t>
  </si>
  <si>
    <t xml:space="preserve">Grand i10 </t>
  </si>
  <si>
    <t>December</t>
  </si>
  <si>
    <t xml:space="preserve">November </t>
  </si>
  <si>
    <t xml:space="preserve">October </t>
  </si>
  <si>
    <t>September</t>
  </si>
  <si>
    <t>August</t>
  </si>
  <si>
    <t>July</t>
  </si>
  <si>
    <t>Total</t>
  </si>
  <si>
    <t>Dzire</t>
  </si>
  <si>
    <t>2,11</t>
  </si>
  <si>
    <t>YoY %</t>
  </si>
  <si>
    <t>Since Tata Tigor Jun 2024 sale data was missing and we require a full series for trend analysis and sales forecast, we imputed the value using linear interpolation using May 24 and July 24 data. 
June= (May+July)/2 = (2098+1495)/2 =1796.5. Since car sale must be a whole number, we considered 1797. Doing this instead of simply taking '0' preserves the upward sale trend from Jan to July before it starts depleting.</t>
  </si>
  <si>
    <t>Grand Total</t>
  </si>
  <si>
    <t>Model-wise Total Sales</t>
  </si>
  <si>
    <t>Brand &gt; Model</t>
  </si>
  <si>
    <t>Brand</t>
  </si>
  <si>
    <t>Month_Display</t>
  </si>
  <si>
    <t>Units_sold</t>
  </si>
  <si>
    <t>market_share_pct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</si>
  <si>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</si>
  <si>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</si>
  <si>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</si>
  <si>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</si>
  <si>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</si>
  <si>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</si>
  <si>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</si>
  <si>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</si>
  <si>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</si>
  <si>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</si>
  <si>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</si>
  <si>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</si>
  <si>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prev_months_sale</t>
  </si>
  <si>
    <t>mom_growth_pct</t>
  </si>
  <si>
    <t>NULL</t>
  </si>
  <si>
    <t>total_units</t>
  </si>
  <si>
    <t>brand_rank</t>
  </si>
  <si>
    <t>q1_units</t>
  </si>
  <si>
    <t>q4_units</t>
  </si>
  <si>
    <t>full_year_growth</t>
  </si>
  <si>
    <t>total_sales</t>
  </si>
  <si>
    <t>Linear Component</t>
  </si>
  <si>
    <t>Curvature Component</t>
  </si>
  <si>
    <t>R_squared</t>
  </si>
  <si>
    <t>Jan_25_Forecast</t>
  </si>
  <si>
    <t>Feb_25_Forecast</t>
  </si>
  <si>
    <t>Mar_25_Forecast</t>
  </si>
  <si>
    <t>Overall market Q1 2025 Forecast</t>
  </si>
  <si>
    <t>Top 5 Brands Q1 2025 Forecast</t>
  </si>
  <si>
    <t>Market Share</t>
  </si>
  <si>
    <t>Total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</si>
</sst>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 tint="-4.9989318521683403E-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wrapText="1"/>
    </xf>
    <xf numFmtId="0" fontId="1" fillId="2" borderId="0" xfId="0" applyFont="1" applyFill="1"/>
    <xf numFmtId="17" fontId="1" fillId="2" borderId="0" xfId="0" applyNumberFormat="1" applyFont="1" applyFill="1"/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0.873004629633" createdVersion="8" refreshedVersion="8" minRefreshableVersion="3" recordCount="87" xr:uid="{3E28729D-E922-4722-93E7-03052ABA62DB}">
  <cacheSource type="worksheet">
    <worksheetSource name="Table2"/>
  </cacheSource>
  <cacheFields count="19">
    <cacheField name="Make" numFmtId="0">
      <sharedItems count="14">
        <s v="Citroen"/>
        <s v="Honda"/>
        <s v="Hyundai"/>
        <s v="Jeep"/>
        <s v="Kia"/>
        <s v="Mahindra"/>
        <s v="Maruti"/>
        <s v="MG"/>
        <s v="Nissan"/>
        <s v="Renault"/>
        <s v="Skoda"/>
        <s v="Tata"/>
        <s v="Toyota"/>
        <s v="Volkswagen"/>
      </sharedItems>
    </cacheField>
    <cacheField name="Model" numFmtId="0">
      <sharedItems count="87">
        <s v="Basalt"/>
        <s v="C3"/>
        <s v="Aircross"/>
        <s v="C5 Aircross"/>
        <s v="e-C3"/>
        <s v="Amaze"/>
        <s v="City"/>
        <s v="Elevate"/>
        <s v="Aura"/>
        <s v="Alcazar"/>
        <s v="Creta"/>
        <s v="Exter"/>
        <s v="Grand i10 "/>
        <s v="i20"/>
        <s v="Ioniq 5"/>
        <s v="Kona"/>
        <s v="Tucson"/>
        <s v="Venue"/>
        <s v="Verna"/>
        <s v="Compass"/>
        <s v="Meridian"/>
        <s v="Wrangler"/>
        <s v="Carens"/>
        <s v="Carnival"/>
        <s v="EV6"/>
        <s v="Seltos"/>
        <s v="Sonet"/>
        <s v="Bolero"/>
        <s v="Marazzo"/>
        <s v="Scorpio"/>
        <s v="Thar"/>
        <s v="XUV300, XUV 3X0"/>
        <s v="XUV400"/>
        <s v="XUV700"/>
        <s v="Alto"/>
        <s v="Baleno"/>
        <s v="Brezza"/>
        <s v="Celerio"/>
        <s v="Ciaz"/>
        <s v="Dzire"/>
        <s v="Eeco"/>
        <s v="Ertiga"/>
        <s v="Fronx"/>
        <s v="Grand Vitara"/>
        <s v="Ignis"/>
        <s v="Invicto"/>
        <s v="Jimny"/>
        <s v="S-Presso"/>
        <s v="Swift"/>
        <s v="WagonR"/>
        <s v="XL6"/>
        <s v="Astor"/>
        <s v="Comet"/>
        <s v="Gloster"/>
        <s v="Hector"/>
        <s v="Windsor"/>
        <s v="ZS EV"/>
        <s v="Magnite"/>
        <s v="X-Trail"/>
        <s v="Kiger"/>
        <s v="Kwid"/>
        <s v="Triber"/>
        <s v="Kodiaq"/>
        <s v="Kushaq"/>
        <s v="Slavia"/>
        <s v="Superb"/>
        <s v="Altroz"/>
        <s v="Curvv"/>
        <s v="Harrier"/>
        <s v="Nexon"/>
        <s v="Punch"/>
        <s v="Safari"/>
        <s v="Tiago"/>
        <s v="Tigor"/>
        <s v="Camry"/>
        <s v="Fortuner"/>
        <s v="Glanza"/>
        <s v="Hilux"/>
        <s v="Hyryder"/>
        <s v="Innova Crysta, Innova Hycross"/>
        <s v="Land Cruiser"/>
        <s v="Rumion"/>
        <s v="Taisor"/>
        <s v="Vellfire"/>
        <s v="Taigun"/>
        <s v="Tiguan"/>
        <s v="Virtus"/>
      </sharedItems>
    </cacheField>
    <cacheField name="January" numFmtId="0">
      <sharedItems containsSemiMixedTypes="0" containsString="0" containsNumber="1" containsInteger="1" minValue="0" maxValue="19630" count="78">
        <n v="0"/>
        <n v="234"/>
        <n v="231"/>
        <n v="1"/>
        <n v="184"/>
        <n v="2972"/>
        <n v="1123"/>
        <n v="4586"/>
        <n v="5516"/>
        <n v="1827"/>
        <n v="13212"/>
        <n v="8229"/>
        <n v="6865"/>
        <n v="7083"/>
        <n v="95"/>
        <n v="102"/>
        <n v="183"/>
        <n v="11831"/>
        <n v="2172"/>
        <n v="286"/>
        <n v="110"/>
        <n v="5848"/>
        <n v="6391"/>
        <n v="11530"/>
        <n v="9964"/>
        <n v="32"/>
        <n v="14293"/>
        <n v="6059"/>
        <n v="4817"/>
        <n v="697"/>
        <n v="7206"/>
        <n v="12395"/>
        <n v="19630"/>
        <n v="15303"/>
        <n v="4406"/>
        <n v="363"/>
        <n v="16773"/>
        <n v="12019"/>
        <n v="14632"/>
        <n v="13643"/>
        <n v="13438"/>
        <n v="2598"/>
        <n v="496"/>
        <n v="163"/>
        <n v="3454"/>
        <n v="15370"/>
        <n v="17756"/>
        <n v="4363"/>
        <n v="966"/>
        <n v="505"/>
        <n v="139"/>
        <n v="1817"/>
        <n v="398"/>
        <n v="2863"/>
        <n v="750"/>
        <n v="856"/>
        <n v="2220"/>
        <n v="53"/>
        <n v="1082"/>
        <n v="1242"/>
        <n v="4935"/>
        <n v="2626"/>
        <n v="17182"/>
        <n v="17978"/>
        <n v="2893"/>
        <n v="6482"/>
        <n v="1539"/>
        <n v="312"/>
        <n v="3213"/>
        <n v="3740"/>
        <n v="289"/>
        <n v="5543"/>
        <n v="9400"/>
        <n v="639"/>
        <n v="61"/>
        <n v="1275"/>
        <n v="113"/>
        <n v="1879"/>
      </sharedItems>
    </cacheField>
    <cacheField name="February" numFmtId="0">
      <sharedItems containsMixedTypes="1" containsNumber="1" containsInteger="1" minValue="0" maxValue="19412" count="77">
        <n v="0"/>
        <n v="211"/>
        <n v="127"/>
        <n v="83"/>
        <n v="2774"/>
        <n v="1184"/>
        <n v="3184"/>
        <n v="5053"/>
        <n v="1290"/>
        <n v="15276"/>
        <n v="7582"/>
        <n v="4947"/>
        <n v="5131"/>
        <n v="66"/>
        <n v="86"/>
        <n v="157"/>
        <n v="8933"/>
        <n v="1680"/>
        <n v="204"/>
        <n v="4832"/>
        <n v="1"/>
        <n v="6265"/>
        <n v="9102"/>
        <n v="10113"/>
        <n v="51"/>
        <n v="15051"/>
        <n v="5812"/>
        <n v="4218"/>
        <n v="610"/>
        <n v="6546"/>
        <n v="11723"/>
        <n v="17517"/>
        <n v="15765"/>
        <n v="3586"/>
        <n v="481"/>
        <n v="15837"/>
        <n v="12147"/>
        <n v="15519"/>
        <n v="14168"/>
        <n v="11002"/>
        <s v="2,11"/>
        <n v="366"/>
        <n v="322"/>
        <n v="3059"/>
        <n v="13165"/>
        <n v="19412"/>
        <n v="4093"/>
        <n v="1036"/>
        <n v="920"/>
        <n v="168"/>
        <n v="1826"/>
        <n v="582"/>
        <n v="2755"/>
        <n v="1047"/>
        <n v="828"/>
        <n v="2205"/>
        <n v="89"/>
        <n v="1137"/>
        <n v="1028"/>
        <n v="4568"/>
        <n v="2562"/>
        <n v="14395"/>
        <n v="18438"/>
        <n v="2648"/>
        <n v="6947"/>
        <n v="1712"/>
        <n v="210"/>
        <n v="3395"/>
        <n v="4581"/>
        <n v="245"/>
        <n v="5601"/>
        <n v="8481"/>
        <n v="730"/>
        <n v="57"/>
        <n v="1286"/>
        <n v="102"/>
        <n v="1631"/>
      </sharedItems>
    </cacheField>
    <cacheField name="March" numFmtId="0">
      <sharedItems containsSemiMixedTypes="0" containsString="0" containsNumber="1" containsInteger="1" minValue="0" maxValue="17547" count="79">
        <n v="0"/>
        <n v="265"/>
        <n v="211"/>
        <n v="530"/>
        <n v="2678"/>
        <n v="1116"/>
        <n v="3277"/>
        <n v="4883"/>
        <n v="1420"/>
        <n v="16458"/>
        <n v="8475"/>
        <n v="5034"/>
        <n v="5155"/>
        <n v="65"/>
        <n v="71"/>
        <n v="110"/>
        <n v="9614"/>
        <n v="1716"/>
        <n v="329"/>
        <n v="96"/>
        <n v="4737"/>
        <n v="1"/>
        <n v="7912"/>
        <n v="8750"/>
        <n v="10347"/>
        <n v="51"/>
        <n v="15151"/>
        <n v="6049"/>
        <n v="2072"/>
        <n v="350"/>
        <n v="6611"/>
        <n v="9332"/>
        <n v="15588"/>
        <n v="14614"/>
        <n v="3478"/>
        <n v="590"/>
        <n v="15894"/>
        <n v="12019"/>
        <n v="14888"/>
        <n v="12531"/>
        <n v="11232"/>
        <n v="2788"/>
        <n v="348"/>
        <n v="318"/>
        <n v="2497"/>
        <n v="15728"/>
        <n v="16368"/>
        <n v="4505"/>
        <n v="1274"/>
        <n v="875"/>
        <n v="131"/>
        <n v="1887"/>
        <n v="481"/>
        <n v="2701"/>
        <n v="1050"/>
        <n v="928"/>
        <n v="2247"/>
        <n v="136"/>
        <n v="1293"/>
        <n v="1358"/>
        <n v="15"/>
        <n v="5985"/>
        <n v="2054"/>
        <n v="14058"/>
        <n v="17547"/>
        <n v="2063"/>
        <n v="6381"/>
        <n v="2017"/>
        <n v="232"/>
        <n v="3621"/>
        <n v="4319"/>
        <n v="356"/>
        <n v="5965"/>
        <n v="9900"/>
        <n v="688"/>
        <n v="38"/>
        <n v="1588"/>
        <n v="94"/>
        <n v="1847"/>
      </sharedItems>
    </cacheField>
    <cacheField name="April" numFmtId="0">
      <sharedItems containsSemiMixedTypes="0" containsString="0" containsNumber="1" containsInteger="1" minValue="0" maxValue="19158" count="78">
        <n v="0"/>
        <n v="251"/>
        <n v="93"/>
        <n v="1"/>
        <n v="59"/>
        <n v="1796"/>
        <n v="824"/>
        <n v="1731"/>
        <n v="4526"/>
        <n v="1219"/>
        <n v="15447"/>
        <n v="7756"/>
        <n v="5117"/>
        <n v="5899"/>
        <n v="45"/>
        <n v="201"/>
        <n v="9120"/>
        <n v="1571"/>
        <n v="282"/>
        <n v="95"/>
        <n v="5328"/>
        <n v="5"/>
        <n v="6734"/>
        <n v="7901"/>
        <n v="9537"/>
        <n v="20"/>
        <n v="14807"/>
        <n v="6160"/>
        <n v="4003"/>
        <n v="347"/>
        <n v="6134"/>
        <n v="9043"/>
        <n v="14049"/>
        <n v="17113"/>
        <n v="3220"/>
        <n v="867"/>
        <n v="15825"/>
        <n v="12060"/>
        <n v="13544"/>
        <n v="14286"/>
        <n v="7651"/>
        <n v="1915"/>
        <n v="193"/>
        <n v="257"/>
        <n v="2476"/>
        <n v="4094"/>
        <n v="17850"/>
        <n v="3509"/>
        <n v="1019"/>
        <n v="993"/>
        <n v="124"/>
        <n v="1813"/>
        <n v="536"/>
        <n v="2404"/>
        <n v="1059"/>
        <n v="977"/>
        <n v="1671"/>
        <n v="154"/>
        <n v="1159"/>
        <n v="1253"/>
        <n v="13"/>
        <n v="5148"/>
        <n v="1746"/>
        <n v="11168"/>
        <n v="19158"/>
        <n v="1716"/>
        <n v="6796"/>
        <n v="2153"/>
        <n v="179"/>
        <n v="2325"/>
        <n v="4380"/>
        <n v="264"/>
        <n v="3252"/>
        <n v="7103"/>
        <n v="1192"/>
        <n v="1758"/>
        <n v="108"/>
        <n v="1183"/>
      </sharedItems>
    </cacheField>
    <cacheField name="May" numFmtId="0">
      <sharedItems containsSemiMixedTypes="0" containsString="0" containsNumber="1" containsInteger="1" minValue="0" maxValue="19393" count="79">
        <n v="0"/>
        <n v="155"/>
        <n v="125"/>
        <n v="235"/>
        <n v="2215"/>
        <n v="1054"/>
        <n v="1553"/>
        <n v="4433"/>
        <n v="944"/>
        <n v="14662"/>
        <n v="7697"/>
        <n v="5328"/>
        <n v="5169"/>
        <n v="42"/>
        <n v="168"/>
        <n v="9327"/>
        <n v="1381"/>
        <n v="269"/>
        <n v="75"/>
        <n v="5316"/>
        <n v="15"/>
        <n v="6736"/>
        <n v="7433"/>
        <n v="8026"/>
        <n v="16"/>
        <n v="13717"/>
        <n v="5750"/>
        <n v="10000"/>
        <n v="701"/>
        <n v="5008"/>
        <n v="7675"/>
        <n v="12842"/>
        <n v="14186"/>
        <n v="3314"/>
        <n v="730"/>
        <n v="16061"/>
        <n v="10960"/>
        <n v="13893"/>
        <n v="12681"/>
        <n v="9736"/>
        <n v="2104"/>
        <n v="193"/>
        <n v="274"/>
        <n v="2227"/>
        <n v="19393"/>
        <n v="14492"/>
        <n v="3241"/>
        <n v="991"/>
        <n v="1200"/>
        <n v="135"/>
        <n v="1906"/>
        <n v="537"/>
        <n v="2211"/>
        <n v="850"/>
        <n v="743"/>
        <n v="2116"/>
        <n v="185"/>
        <n v="1157"/>
        <n v="1538"/>
        <n v="4"/>
        <n v="4983"/>
        <n v="1625"/>
        <n v="11457"/>
        <n v="18949"/>
        <n v="1661"/>
        <n v="5927"/>
        <n v="2098"/>
        <n v="122"/>
        <n v="2422"/>
        <n v="4517"/>
        <n v="283"/>
        <n v="3906"/>
        <n v="8548"/>
        <n v="1919"/>
        <n v="2180"/>
        <n v="62"/>
        <n v="1561"/>
        <n v="102"/>
        <n v="1610"/>
      </sharedItems>
    </cacheField>
    <cacheField name="June" numFmtId="0">
      <sharedItems containsSemiMixedTypes="0" containsString="0" containsNumber="1" containsInteger="1" minValue="0" maxValue="18238" count="79">
        <n v="0"/>
        <n v="77"/>
        <n v="136"/>
        <n v="126"/>
        <n v="1794"/>
        <n v="859"/>
        <n v="2151"/>
        <n v="4299"/>
        <n v="882"/>
        <n v="16293"/>
        <n v="6908"/>
        <n v="4948"/>
        <n v="5315"/>
        <n v="30"/>
        <n v="114"/>
        <n v="9890"/>
        <n v="1424"/>
        <n v="216"/>
        <n v="65"/>
        <n v="5154"/>
        <n v="24"/>
        <n v="6306"/>
        <n v="9816"/>
        <n v="7365"/>
        <n v="12"/>
        <n v="12307"/>
        <n v="5376"/>
        <n v="8500"/>
        <n v="534"/>
        <n v="5928"/>
        <n v="7775"/>
        <n v="14895"/>
        <n v="13172"/>
        <n v="2985"/>
        <n v="572"/>
        <n v="13421"/>
        <n v="10771"/>
        <n v="15902"/>
        <n v="9688"/>
        <n v="9679"/>
        <n v="2536"/>
        <n v="128"/>
        <n v="481"/>
        <n v="1620"/>
        <n v="16422"/>
        <n v="13790"/>
        <n v="3323"/>
        <n v="938"/>
        <n v="1300"/>
        <n v="132"/>
        <n v="1713"/>
        <n v="561"/>
        <n v="2107"/>
        <n v="1150"/>
        <n v="603"/>
        <n v="1800"/>
        <n v="137"/>
        <n v="1198"/>
        <n v="1230"/>
        <n v="1"/>
        <n v="3937"/>
        <n v="1347"/>
        <n v="12066"/>
        <n v="18238"/>
        <n v="1394"/>
        <n v="5174"/>
        <n v="1797"/>
        <n v="143"/>
        <n v="2675"/>
        <n v="4118"/>
        <n v="236"/>
        <n v="4275"/>
        <n v="9412"/>
        <n v="1566"/>
        <n v="3185"/>
        <n v="142"/>
        <n v="1519"/>
        <n v="85"/>
        <n v="1656"/>
      </sharedItems>
    </cacheField>
    <cacheField name="July" numFmtId="0">
      <sharedItems containsSemiMixedTypes="0" containsString="0" containsNumber="1" containsInteger="1" minValue="0" maxValue="17350" count="78">
        <n v="0"/>
        <n v="90"/>
        <n v="68"/>
        <n v="177"/>
        <n v="2327"/>
        <n v="957"/>
        <n v="1340"/>
        <n v="4757"/>
        <n v="585"/>
        <n v="17350"/>
        <n v="6037"/>
        <n v="4922"/>
        <n v="4937"/>
        <n v="36"/>
        <n v="129"/>
        <n v="8840"/>
        <n v="1420"/>
        <n v="213"/>
        <n v="63"/>
        <n v="5679"/>
        <n v="22"/>
        <n v="5347"/>
        <n v="9459"/>
        <n v="6930"/>
        <n v="14"/>
        <n v="12237"/>
        <n v="4385"/>
        <n v="10000"/>
        <n v="288"/>
        <n v="7769"/>
        <n v="7353"/>
        <n v="9309"/>
        <n v="14676"/>
        <n v="2465"/>
        <n v="603"/>
        <n v="11647"/>
        <n v="11916"/>
        <n v="15701"/>
        <n v="10925"/>
        <n v="9397"/>
        <n v="2216"/>
        <n v="251"/>
        <n v="2429"/>
        <n v="2607"/>
        <n v="16854"/>
        <n v="16191"/>
        <n v="2923"/>
        <n v="929"/>
        <n v="1200"/>
        <n v="191"/>
        <n v="1780"/>
        <n v="472"/>
        <n v="2011"/>
        <n v="810"/>
        <n v="565"/>
        <n v="1457"/>
        <n v="240"/>
        <n v="1070"/>
        <n v="793"/>
        <n v="3444"/>
        <n v="1991"/>
        <n v="13902"/>
        <n v="16121"/>
        <n v="2109"/>
        <n v="5665"/>
        <n v="1495"/>
        <n v="126"/>
        <n v="2380"/>
        <n v="4836"/>
        <n v="178"/>
        <n v="7419"/>
        <n v="9912"/>
        <n v="1929"/>
        <n v="2640"/>
        <n v="113"/>
        <n v="1564"/>
        <n v="77"/>
        <n v="1766"/>
      </sharedItems>
    </cacheField>
    <cacheField name="August" numFmtId="0">
      <sharedItems containsSemiMixedTypes="0" containsString="0" containsNumber="1" containsInteger="1" minValue="0" maxValue="19190" count="83">
        <n v="579"/>
        <n v="507"/>
        <n v="38"/>
        <n v="1"/>
        <n v="150"/>
        <n v="2585"/>
        <n v="1018"/>
        <n v="1723"/>
        <n v="4304"/>
        <n v="1105"/>
        <n v="16762"/>
        <n v="6632"/>
        <n v="5365"/>
        <n v="4913"/>
        <n v="40"/>
        <n v="0"/>
        <n v="125"/>
        <n v="9085"/>
        <n v="1194"/>
        <n v="280"/>
        <n v="60"/>
        <n v="5881"/>
        <n v="33"/>
        <n v="6536"/>
        <n v="10073"/>
        <n v="6494"/>
        <n v="8"/>
        <n v="13787"/>
        <n v="4268"/>
        <n v="9000"/>
        <n v="713"/>
        <n v="9007"/>
        <n v="8546"/>
        <n v="12485"/>
        <n v="19190"/>
        <n v="3181"/>
        <n v="707"/>
        <n v="10627"/>
        <n v="10985"/>
        <n v="18580"/>
        <n v="12387"/>
        <n v="9021"/>
        <n v="2464"/>
        <n v="174"/>
        <n v="592"/>
        <n v="2102"/>
        <n v="12844"/>
        <n v="16450"/>
        <n v="2740"/>
        <n v="937"/>
        <n v="1100"/>
        <n v="236"/>
        <n v="1814"/>
        <n v="484"/>
        <n v="2257"/>
        <n v="6"/>
        <n v="870"/>
        <n v="634"/>
        <n v="1514"/>
        <n v="145"/>
        <n v="1502"/>
        <n v="1122"/>
        <n v="3"/>
        <n v="3031"/>
        <n v="3455"/>
        <n v="1892"/>
        <n v="12289"/>
        <n v="15643"/>
        <n v="1951"/>
        <n v="4733"/>
        <n v="1148"/>
        <n v="154"/>
        <n v="2338"/>
        <n v="4624"/>
        <n v="204"/>
        <n v="6534"/>
        <n v="9687"/>
        <n v="1721"/>
        <n v="3213"/>
        <n v="114"/>
        <n v="1628"/>
        <n v="73"/>
        <n v="1876"/>
      </sharedItems>
    </cacheField>
    <cacheField name="September" numFmtId="0">
      <sharedItems containsSemiMixedTypes="0" containsString="0" containsNumber="1" containsInteger="1" minValue="0" maxValue="17441" count="83">
        <n v="341"/>
        <n v="300"/>
        <n v="41"/>
        <n v="1"/>
        <n v="28"/>
        <n v="2820"/>
        <n v="895"/>
        <n v="1960"/>
        <n v="4462"/>
        <n v="2712"/>
        <n v="15902"/>
        <n v="6908"/>
        <n v="5103"/>
        <n v="4428"/>
        <n v="31"/>
        <n v="0"/>
        <n v="98"/>
        <n v="10259"/>
        <n v="1198"/>
        <n v="310"/>
        <n v="55"/>
        <n v="6217"/>
        <n v="12"/>
        <n v="6959"/>
        <n v="10335"/>
        <n v="8180"/>
        <n v="7"/>
        <n v="14438"/>
        <n v="8843"/>
        <n v="9000"/>
        <n v="948"/>
        <n v="9646"/>
        <n v="8655"/>
        <n v="14292"/>
        <n v="15322"/>
        <n v="3241"/>
        <n v="662"/>
        <n v="10853"/>
        <n v="11908"/>
        <n v="17441"/>
        <n v="13874"/>
        <n v="10267"/>
        <n v="2514"/>
        <n v="312"/>
        <n v="599"/>
        <n v="1708"/>
        <n v="16241"/>
        <n v="13339"/>
        <n v="3734"/>
        <n v="760"/>
        <n v="1268"/>
        <n v="200"/>
        <n v="1380"/>
        <n v="980"/>
        <n v="2100"/>
        <n v="13"/>
        <n v="988"/>
        <n v="691"/>
        <n v="1538"/>
        <n v="140"/>
        <n v="1767"/>
        <n v="1391"/>
        <n v="3"/>
        <n v="2758"/>
        <n v="4763"/>
        <n v="1600"/>
        <n v="11470"/>
        <n v="13711"/>
        <n v="1644"/>
        <n v="4225"/>
        <n v="894"/>
        <n v="127"/>
        <n v="2473"/>
        <n v="3246"/>
        <n v="186"/>
        <n v="5385"/>
        <n v="8052"/>
        <n v="1968"/>
        <n v="2278"/>
        <n v="87"/>
        <n v="1611"/>
        <n v="86"/>
        <n v="1697"/>
      </sharedItems>
    </cacheField>
    <cacheField name="October " numFmtId="0">
      <sharedItems containsSemiMixedTypes="0" containsString="0" containsNumber="1" containsInteger="1" minValue="0" maxValue="18785" count="84">
        <n v="221"/>
        <n v="300"/>
        <n v="103"/>
        <n v="4"/>
        <n v="89"/>
        <n v="2393"/>
        <n v="1004"/>
        <n v="2149"/>
        <n v="4805"/>
        <n v="2204"/>
        <n v="17497"/>
        <n v="7127"/>
        <n v="6235"/>
        <n v="5354"/>
        <n v="32"/>
        <n v="0"/>
        <n v="141"/>
        <n v="10901"/>
        <n v="1272"/>
        <n v="236"/>
        <n v="188"/>
        <n v="6384"/>
        <n v="255"/>
        <n v="50"/>
        <n v="6365"/>
        <n v="9699"/>
        <n v="9849"/>
        <n v="37"/>
        <n v="15677"/>
        <n v="7944"/>
        <n v="9562"/>
        <n v="1000"/>
        <n v="10435"/>
        <n v="8548"/>
        <n v="16082"/>
        <n v="16565"/>
        <n v="3044"/>
        <n v="659"/>
        <n v="12698"/>
        <n v="11653"/>
        <n v="18785"/>
        <n v="16419"/>
        <n v="14083"/>
        <n v="2663"/>
        <n v="296"/>
        <n v="1211"/>
        <n v="2139"/>
        <n v="17539"/>
        <n v="13922"/>
        <n v="3285"/>
        <n v="767"/>
        <n v="1151"/>
        <n v="176"/>
        <n v="1224"/>
        <n v="3116"/>
        <n v="611"/>
        <n v="3119"/>
        <n v="2"/>
        <n v="1053"/>
        <n v="706"/>
        <n v="2111"/>
        <n v="209"/>
        <n v="2213"/>
        <n v="1637"/>
        <n v="20"/>
        <n v="2642"/>
        <n v="5351"/>
        <n v="1947"/>
        <n v="14759"/>
        <n v="15740"/>
        <n v="2086"/>
        <n v="4682"/>
        <n v="926"/>
        <n v="3684"/>
        <n v="4273"/>
        <n v="342"/>
        <n v="5449"/>
        <n v="8838"/>
        <n v="2169"/>
        <n v="3092"/>
        <n v="115"/>
        <n v="2028"/>
        <n v="79"/>
        <n v="2351"/>
      </sharedItems>
    </cacheField>
    <cacheField name="November " numFmtId="0">
      <sharedItems containsSemiMixedTypes="0" containsString="0" containsNumber="1" containsInteger="1" minValue="0" maxValue="16293" count="83">
        <n v="47"/>
        <n v="200"/>
        <n v="201"/>
        <n v="0"/>
        <n v="61"/>
        <n v="2628"/>
        <n v="709"/>
        <n v="1668"/>
        <n v="4248"/>
        <n v="2134"/>
        <n v="15452"/>
        <n v="5747"/>
        <n v="5667"/>
        <n v="3925"/>
        <n v="22"/>
        <n v="84"/>
        <n v="9754"/>
        <n v="1213"/>
        <n v="188"/>
        <n v="173"/>
        <n v="5672"/>
        <n v="241"/>
        <n v="68"/>
        <n v="5364"/>
        <n v="9255"/>
        <n v="7045"/>
        <n v="9"/>
        <n v="12704"/>
        <n v="8708"/>
        <n v="7656"/>
        <n v="1000"/>
        <n v="9100"/>
        <n v="7467"/>
        <n v="16293"/>
        <n v="14918"/>
        <n v="2379"/>
        <n v="597"/>
        <n v="11779"/>
        <n v="10589"/>
        <n v="15150"/>
        <n v="14882"/>
        <n v="10148"/>
        <n v="2203"/>
        <n v="434"/>
        <n v="988"/>
        <n v="2283"/>
        <n v="14737"/>
        <n v="13982"/>
        <n v="2483"/>
        <n v="548"/>
        <n v="600"/>
        <n v="138"/>
        <n v="1106"/>
        <n v="3144"/>
        <n v="483"/>
        <n v="2342"/>
        <n v="779"/>
        <n v="546"/>
        <n v="1486"/>
        <n v="225"/>
        <n v="1524"/>
        <n v="1131"/>
        <n v="6"/>
        <n v="2083"/>
        <n v="5101"/>
        <n v="1374"/>
        <n v="15329"/>
        <n v="15435"/>
        <n v="1563"/>
        <n v="5319"/>
        <n v="859"/>
        <n v="130"/>
        <n v="2865"/>
        <n v="3806"/>
        <n v="149"/>
        <n v="4857"/>
        <n v="7867"/>
        <n v="1803"/>
        <n v="3620"/>
        <n v="86"/>
        <n v="1497"/>
        <n v="79"/>
        <n v="1457"/>
      </sharedItems>
    </cacheField>
    <cacheField name="December" numFmtId="0">
      <sharedItems containsSemiMixedTypes="0" containsString="0" containsNumber="1" containsInteger="1" minValue="0" maxValue="17336" count="82">
        <n v="79"/>
        <n v="300"/>
        <n v="96"/>
        <n v="1"/>
        <n v="90"/>
        <n v="3708"/>
        <n v="783"/>
        <n v="2334"/>
        <n v="3852"/>
        <n v="1342"/>
        <n v="12608"/>
        <n v="5270"/>
        <n v="4489"/>
        <n v="3453"/>
        <n v="24"/>
        <n v="0"/>
        <n v="33"/>
        <n v="10265"/>
        <n v="872"/>
        <n v="175"/>
        <n v="111"/>
        <n v="2626"/>
        <n v="103"/>
        <n v="61"/>
        <n v="2830"/>
        <n v="3337"/>
        <n v="5921"/>
        <n v="16"/>
        <n v="12195"/>
        <n v="7659"/>
        <n v="7000"/>
        <n v="1296"/>
        <n v="7337"/>
        <n v="7410"/>
        <n v="9112"/>
        <n v="17336"/>
        <n v="748"/>
        <n v="464"/>
        <n v="16573"/>
        <n v="11678"/>
        <n v="16056"/>
        <n v="10752"/>
        <n v="7093"/>
        <n v="749"/>
        <n v="825"/>
        <n v="1100"/>
        <n v="8"/>
        <n v="10421"/>
        <n v="17303"/>
        <n v="2487"/>
        <n v="700"/>
        <n v="100"/>
        <n v="1373"/>
        <n v="3785"/>
        <n v="858"/>
        <n v="2117"/>
        <n v="594"/>
        <n v="628"/>
        <n v="1659"/>
        <n v="194"/>
        <n v="2465"/>
        <n v="1894"/>
        <n v="1866"/>
        <n v="4994"/>
        <n v="1307"/>
        <n v="13536"/>
        <n v="15073"/>
        <n v="1385"/>
        <n v="5006"/>
        <n v="1054"/>
        <n v="88"/>
        <n v="2206"/>
        <n v="3487"/>
        <n v="170"/>
        <n v="4770"/>
        <n v="9700"/>
        <n v="1775"/>
        <n v="2628"/>
        <n v="63"/>
        <n v="2335"/>
        <n v="195"/>
        <n v="2257"/>
      </sharedItems>
    </cacheField>
    <cacheField name="Total" numFmtId="0">
      <sharedItems containsSemiMixedTypes="0" containsString="0" containsNumber="1" containsInteger="1" minValue="0" maxValue="202031"/>
    </cacheField>
    <cacheField name="Segment" numFmtId="0">
      <sharedItems/>
    </cacheField>
    <cacheField name="Body Type" numFmtId="0">
      <sharedItems/>
    </cacheField>
    <cacheField name="MoM %" numFmtId="0">
      <sharedItems containsSemiMixedTypes="0" containsString="0" containsNumber="1" containsInteger="1" minValue="-100" maxValue="147"/>
    </cacheField>
    <cacheField name="YoY %" numFmtId="0">
      <sharedItems containsSemiMixedTypes="0" containsString="0" containsNumber="1" containsInteger="1" minValue="-87" maxValue="332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x v="0"/>
    <x v="0"/>
    <x v="0"/>
    <x v="0"/>
    <x v="0"/>
    <x v="0"/>
    <x v="0"/>
    <x v="0"/>
    <x v="0"/>
    <x v="0"/>
    <x v="0"/>
    <x v="0"/>
    <x v="0"/>
    <n v="1267"/>
    <s v="C2"/>
    <s v="SUV"/>
    <n v="68"/>
    <n v="0"/>
  </r>
  <r>
    <x v="0"/>
    <x v="1"/>
    <x v="1"/>
    <x v="1"/>
    <x v="1"/>
    <x v="1"/>
    <x v="1"/>
    <x v="1"/>
    <x v="1"/>
    <x v="1"/>
    <x v="1"/>
    <x v="1"/>
    <x v="1"/>
    <x v="1"/>
    <n v="2890"/>
    <s v="C1"/>
    <s v="Hatchback"/>
    <n v="50"/>
    <n v="-3"/>
  </r>
  <r>
    <x v="0"/>
    <x v="2"/>
    <x v="2"/>
    <x v="2"/>
    <x v="2"/>
    <x v="2"/>
    <x v="2"/>
    <x v="2"/>
    <x v="2"/>
    <x v="2"/>
    <x v="2"/>
    <x v="2"/>
    <x v="2"/>
    <x v="2"/>
    <n v="1470"/>
    <s v="C2"/>
    <s v="SUV"/>
    <n v="-52"/>
    <n v="-72"/>
  </r>
  <r>
    <x v="0"/>
    <x v="3"/>
    <x v="3"/>
    <x v="0"/>
    <x v="0"/>
    <x v="3"/>
    <x v="0"/>
    <x v="0"/>
    <x v="0"/>
    <x v="3"/>
    <x v="3"/>
    <x v="3"/>
    <x v="3"/>
    <x v="3"/>
    <n v="9"/>
    <s v="D2"/>
    <s v="SUV"/>
    <n v="0"/>
    <n v="-50"/>
  </r>
  <r>
    <x v="0"/>
    <x v="4"/>
    <x v="4"/>
    <x v="3"/>
    <x v="3"/>
    <x v="4"/>
    <x v="3"/>
    <x v="3"/>
    <x v="3"/>
    <x v="4"/>
    <x v="4"/>
    <x v="4"/>
    <x v="4"/>
    <x v="4"/>
    <n v="1812"/>
    <s v="C1"/>
    <s v="SUV"/>
    <n v="48"/>
    <n v="0"/>
  </r>
  <r>
    <x v="1"/>
    <x v="5"/>
    <x v="5"/>
    <x v="4"/>
    <x v="4"/>
    <x v="5"/>
    <x v="4"/>
    <x v="4"/>
    <x v="4"/>
    <x v="5"/>
    <x v="5"/>
    <x v="5"/>
    <x v="5"/>
    <x v="5"/>
    <n v="30690"/>
    <s v="C1"/>
    <s v="Sedan"/>
    <n v="41"/>
    <n v="54"/>
  </r>
  <r>
    <x v="1"/>
    <x v="6"/>
    <x v="6"/>
    <x v="5"/>
    <x v="5"/>
    <x v="6"/>
    <x v="5"/>
    <x v="5"/>
    <x v="5"/>
    <x v="6"/>
    <x v="6"/>
    <x v="6"/>
    <x v="6"/>
    <x v="6"/>
    <n v="11526"/>
    <s v="C2"/>
    <s v="Sedan"/>
    <n v="10"/>
    <n v="-30"/>
  </r>
  <r>
    <x v="1"/>
    <x v="7"/>
    <x v="7"/>
    <x v="6"/>
    <x v="6"/>
    <x v="7"/>
    <x v="6"/>
    <x v="6"/>
    <x v="6"/>
    <x v="7"/>
    <x v="7"/>
    <x v="7"/>
    <x v="7"/>
    <x v="7"/>
    <n v="27656"/>
    <s v="C2"/>
    <s v="SUV"/>
    <n v="40"/>
    <n v="-47"/>
  </r>
  <r>
    <x v="2"/>
    <x v="8"/>
    <x v="8"/>
    <x v="7"/>
    <x v="7"/>
    <x v="8"/>
    <x v="7"/>
    <x v="7"/>
    <x v="7"/>
    <x v="8"/>
    <x v="8"/>
    <x v="8"/>
    <x v="8"/>
    <x v="8"/>
    <n v="55138"/>
    <s v="C1"/>
    <s v="Sedan"/>
    <n v="-9"/>
    <n v="1"/>
  </r>
  <r>
    <x v="2"/>
    <x v="9"/>
    <x v="9"/>
    <x v="8"/>
    <x v="8"/>
    <x v="9"/>
    <x v="8"/>
    <x v="8"/>
    <x v="8"/>
    <x v="9"/>
    <x v="9"/>
    <x v="9"/>
    <x v="9"/>
    <x v="9"/>
    <n v="17664"/>
    <s v="C2"/>
    <s v="MUV"/>
    <n v="-37"/>
    <n v="41"/>
  </r>
  <r>
    <x v="2"/>
    <x v="10"/>
    <x v="10"/>
    <x v="9"/>
    <x v="9"/>
    <x v="10"/>
    <x v="9"/>
    <x v="9"/>
    <x v="9"/>
    <x v="10"/>
    <x v="10"/>
    <x v="10"/>
    <x v="10"/>
    <x v="10"/>
    <n v="186919"/>
    <s v="C2"/>
    <s v="SUV"/>
    <n v="-18"/>
    <n v="36"/>
  </r>
  <r>
    <x v="2"/>
    <x v="11"/>
    <x v="11"/>
    <x v="10"/>
    <x v="10"/>
    <x v="11"/>
    <x v="10"/>
    <x v="10"/>
    <x v="10"/>
    <x v="11"/>
    <x v="11"/>
    <x v="11"/>
    <x v="11"/>
    <x v="11"/>
    <n v="84368"/>
    <s v="C1"/>
    <s v="SUV"/>
    <n v="-8"/>
    <n v="-30"/>
  </r>
  <r>
    <x v="2"/>
    <x v="12"/>
    <x v="12"/>
    <x v="11"/>
    <x v="11"/>
    <x v="12"/>
    <x v="11"/>
    <x v="11"/>
    <x v="11"/>
    <x v="12"/>
    <x v="12"/>
    <x v="12"/>
    <x v="12"/>
    <x v="12"/>
    <n v="64020"/>
    <s v="B2"/>
    <s v="Hatchback"/>
    <n v="-21"/>
    <n v="-14"/>
  </r>
  <r>
    <x v="2"/>
    <x v="13"/>
    <x v="13"/>
    <x v="12"/>
    <x v="12"/>
    <x v="13"/>
    <x v="12"/>
    <x v="12"/>
    <x v="12"/>
    <x v="13"/>
    <x v="13"/>
    <x v="13"/>
    <x v="13"/>
    <x v="13"/>
    <n v="60762"/>
    <s v="B2"/>
    <s v="Hatchback"/>
    <n v="-12"/>
    <n v="-25"/>
  </r>
  <r>
    <x v="2"/>
    <x v="14"/>
    <x v="14"/>
    <x v="13"/>
    <x v="13"/>
    <x v="14"/>
    <x v="13"/>
    <x v="13"/>
    <x v="13"/>
    <x v="14"/>
    <x v="14"/>
    <x v="14"/>
    <x v="14"/>
    <x v="14"/>
    <n v="528"/>
    <s v="Premium"/>
    <s v="SUV"/>
    <n v="9"/>
    <n v="-70"/>
  </r>
  <r>
    <x v="2"/>
    <x v="15"/>
    <x v="15"/>
    <x v="14"/>
    <x v="14"/>
    <x v="0"/>
    <x v="0"/>
    <x v="0"/>
    <x v="0"/>
    <x v="15"/>
    <x v="15"/>
    <x v="15"/>
    <x v="3"/>
    <x v="15"/>
    <n v="259"/>
    <s v="Premium"/>
    <s v="SUV"/>
    <n v="0"/>
    <n v="0"/>
  </r>
  <r>
    <x v="2"/>
    <x v="16"/>
    <x v="16"/>
    <x v="15"/>
    <x v="15"/>
    <x v="15"/>
    <x v="14"/>
    <x v="14"/>
    <x v="14"/>
    <x v="16"/>
    <x v="16"/>
    <x v="16"/>
    <x v="15"/>
    <x v="16"/>
    <n v="1543"/>
    <s v="D2"/>
    <s v="SUV"/>
    <n v="-61"/>
    <n v="-84"/>
  </r>
  <r>
    <x v="2"/>
    <x v="17"/>
    <x v="17"/>
    <x v="16"/>
    <x v="16"/>
    <x v="16"/>
    <x v="15"/>
    <x v="15"/>
    <x v="15"/>
    <x v="17"/>
    <x v="17"/>
    <x v="17"/>
    <x v="16"/>
    <x v="17"/>
    <n v="117819"/>
    <s v="C1"/>
    <s v="SUV"/>
    <n v="5"/>
    <n v="-1"/>
  </r>
  <r>
    <x v="2"/>
    <x v="18"/>
    <x v="18"/>
    <x v="17"/>
    <x v="17"/>
    <x v="17"/>
    <x v="16"/>
    <x v="16"/>
    <x v="16"/>
    <x v="18"/>
    <x v="18"/>
    <x v="18"/>
    <x v="17"/>
    <x v="18"/>
    <n v="17113"/>
    <s v="C2"/>
    <s v="Sedan"/>
    <n v="-28"/>
    <n v="22"/>
  </r>
  <r>
    <x v="3"/>
    <x v="19"/>
    <x v="19"/>
    <x v="18"/>
    <x v="18"/>
    <x v="18"/>
    <x v="17"/>
    <x v="17"/>
    <x v="17"/>
    <x v="19"/>
    <x v="19"/>
    <x v="19"/>
    <x v="18"/>
    <x v="19"/>
    <n v="2988"/>
    <s v="D1"/>
    <s v="SUV"/>
    <n v="-7"/>
    <n v="-29"/>
  </r>
  <r>
    <x v="3"/>
    <x v="20"/>
    <x v="20"/>
    <x v="2"/>
    <x v="19"/>
    <x v="19"/>
    <x v="18"/>
    <x v="18"/>
    <x v="18"/>
    <x v="20"/>
    <x v="20"/>
    <x v="20"/>
    <x v="19"/>
    <x v="20"/>
    <n v="1218"/>
    <s v="D2"/>
    <s v="SUV"/>
    <n v="-36"/>
    <n v="-42"/>
  </r>
  <r>
    <x v="3"/>
    <x v="21"/>
    <x v="0"/>
    <x v="0"/>
    <x v="0"/>
    <x v="0"/>
    <x v="0"/>
    <x v="0"/>
    <x v="0"/>
    <x v="15"/>
    <x v="15"/>
    <x v="15"/>
    <x v="3"/>
    <x v="15"/>
    <n v="0"/>
    <s v="Premium"/>
    <s v="SUV"/>
    <n v="0"/>
    <n v="0"/>
  </r>
  <r>
    <x v="4"/>
    <x v="22"/>
    <x v="21"/>
    <x v="19"/>
    <x v="20"/>
    <x v="20"/>
    <x v="19"/>
    <x v="19"/>
    <x v="19"/>
    <x v="21"/>
    <x v="21"/>
    <x v="21"/>
    <x v="20"/>
    <x v="21"/>
    <n v="63674"/>
    <s v="Utility"/>
    <s v="MUV"/>
    <n v="-54"/>
    <n v="2"/>
  </r>
  <r>
    <x v="4"/>
    <x v="23"/>
    <x v="0"/>
    <x v="0"/>
    <x v="0"/>
    <x v="0"/>
    <x v="0"/>
    <x v="0"/>
    <x v="0"/>
    <x v="15"/>
    <x v="15"/>
    <x v="22"/>
    <x v="21"/>
    <x v="22"/>
    <n v="599"/>
    <s v="D2"/>
    <s v="MUV"/>
    <n v="-57"/>
    <n v="0"/>
  </r>
  <r>
    <x v="4"/>
    <x v="24"/>
    <x v="0"/>
    <x v="20"/>
    <x v="21"/>
    <x v="21"/>
    <x v="20"/>
    <x v="20"/>
    <x v="20"/>
    <x v="22"/>
    <x v="22"/>
    <x v="23"/>
    <x v="22"/>
    <x v="23"/>
    <n v="292"/>
    <s v="Premium"/>
    <s v="SUV"/>
    <n v="-10"/>
    <n v="917"/>
  </r>
  <r>
    <x v="4"/>
    <x v="25"/>
    <x v="22"/>
    <x v="21"/>
    <x v="22"/>
    <x v="22"/>
    <x v="21"/>
    <x v="21"/>
    <x v="21"/>
    <x v="23"/>
    <x v="23"/>
    <x v="24"/>
    <x v="23"/>
    <x v="24"/>
    <n v="73745"/>
    <s v="C2"/>
    <s v="SUV"/>
    <n v="-47"/>
    <n v="-72"/>
  </r>
  <r>
    <x v="4"/>
    <x v="26"/>
    <x v="23"/>
    <x v="22"/>
    <x v="23"/>
    <x v="23"/>
    <x v="22"/>
    <x v="22"/>
    <x v="22"/>
    <x v="24"/>
    <x v="24"/>
    <x v="25"/>
    <x v="24"/>
    <x v="25"/>
    <n v="106690"/>
    <s v="C1"/>
    <s v="SUV"/>
    <n v="-64"/>
    <n v="33270"/>
  </r>
  <r>
    <x v="5"/>
    <x v="27"/>
    <x v="24"/>
    <x v="23"/>
    <x v="24"/>
    <x v="24"/>
    <x v="23"/>
    <x v="23"/>
    <x v="23"/>
    <x v="25"/>
    <x v="25"/>
    <x v="26"/>
    <x v="25"/>
    <x v="26"/>
    <n v="99771"/>
    <s v="Utility"/>
    <s v="MUV"/>
    <n v="-16"/>
    <n v="-26"/>
  </r>
  <r>
    <x v="5"/>
    <x v="28"/>
    <x v="25"/>
    <x v="24"/>
    <x v="25"/>
    <x v="25"/>
    <x v="24"/>
    <x v="24"/>
    <x v="24"/>
    <x v="26"/>
    <x v="26"/>
    <x v="27"/>
    <x v="26"/>
    <x v="27"/>
    <n v="273"/>
    <s v="Utility"/>
    <s v="MUV"/>
    <n v="78"/>
    <n v="-74"/>
  </r>
  <r>
    <x v="5"/>
    <x v="29"/>
    <x v="26"/>
    <x v="25"/>
    <x v="26"/>
    <x v="26"/>
    <x v="25"/>
    <x v="25"/>
    <x v="25"/>
    <x v="27"/>
    <x v="27"/>
    <x v="28"/>
    <x v="27"/>
    <x v="28"/>
    <n v="166364"/>
    <s v="C2"/>
    <s v="SUV"/>
    <n v="-4"/>
    <n v="7"/>
  </r>
  <r>
    <x v="5"/>
    <x v="30"/>
    <x v="27"/>
    <x v="26"/>
    <x v="27"/>
    <x v="27"/>
    <x v="26"/>
    <x v="26"/>
    <x v="26"/>
    <x v="28"/>
    <x v="28"/>
    <x v="29"/>
    <x v="28"/>
    <x v="29"/>
    <n v="77013"/>
    <s v="Utility"/>
    <s v="SUV"/>
    <n v="-12"/>
    <n v="32"/>
  </r>
  <r>
    <x v="5"/>
    <x v="31"/>
    <x v="28"/>
    <x v="27"/>
    <x v="28"/>
    <x v="28"/>
    <x v="27"/>
    <x v="27"/>
    <x v="27"/>
    <x v="29"/>
    <x v="29"/>
    <x v="30"/>
    <x v="29"/>
    <x v="30"/>
    <n v="85828"/>
    <s v="C1"/>
    <s v="SUV"/>
    <n v="-9"/>
    <n v="97"/>
  </r>
  <r>
    <x v="5"/>
    <x v="32"/>
    <x v="29"/>
    <x v="28"/>
    <x v="29"/>
    <x v="29"/>
    <x v="28"/>
    <x v="28"/>
    <x v="28"/>
    <x v="30"/>
    <x v="30"/>
    <x v="31"/>
    <x v="30"/>
    <x v="31"/>
    <n v="8484"/>
    <s v="C2"/>
    <s v="SUV"/>
    <n v="30"/>
    <n v="142"/>
  </r>
  <r>
    <x v="5"/>
    <x v="33"/>
    <x v="30"/>
    <x v="29"/>
    <x v="30"/>
    <x v="30"/>
    <x v="29"/>
    <x v="29"/>
    <x v="29"/>
    <x v="31"/>
    <x v="31"/>
    <x v="32"/>
    <x v="31"/>
    <x v="32"/>
    <n v="90727"/>
    <s v="D1"/>
    <s v="SUV"/>
    <n v="-19"/>
    <n v="25"/>
  </r>
  <r>
    <x v="6"/>
    <x v="34"/>
    <x v="31"/>
    <x v="30"/>
    <x v="31"/>
    <x v="31"/>
    <x v="30"/>
    <x v="30"/>
    <x v="30"/>
    <x v="32"/>
    <x v="32"/>
    <x v="33"/>
    <x v="32"/>
    <x v="33"/>
    <n v="105922"/>
    <s v="A"/>
    <s v="Hatchback"/>
    <n v="-1"/>
    <n v="197"/>
  </r>
  <r>
    <x v="6"/>
    <x v="35"/>
    <x v="32"/>
    <x v="31"/>
    <x v="32"/>
    <x v="32"/>
    <x v="31"/>
    <x v="31"/>
    <x v="31"/>
    <x v="33"/>
    <x v="33"/>
    <x v="34"/>
    <x v="33"/>
    <x v="34"/>
    <n v="172094"/>
    <s v="B2"/>
    <s v="Hatchback"/>
    <n v="-44"/>
    <n v="-15"/>
  </r>
  <r>
    <x v="6"/>
    <x v="36"/>
    <x v="33"/>
    <x v="32"/>
    <x v="33"/>
    <x v="33"/>
    <x v="32"/>
    <x v="32"/>
    <x v="32"/>
    <x v="34"/>
    <x v="34"/>
    <x v="35"/>
    <x v="34"/>
    <x v="35"/>
    <n v="188160"/>
    <s v="C1"/>
    <s v="SUV"/>
    <n v="16"/>
    <n v="35"/>
  </r>
  <r>
    <x v="6"/>
    <x v="37"/>
    <x v="34"/>
    <x v="33"/>
    <x v="34"/>
    <x v="34"/>
    <x v="33"/>
    <x v="33"/>
    <x v="33"/>
    <x v="35"/>
    <x v="35"/>
    <x v="36"/>
    <x v="35"/>
    <x v="36"/>
    <n v="36047"/>
    <s v="B1"/>
    <s v="Hatchback"/>
    <n v="-69"/>
    <n v="203"/>
  </r>
  <r>
    <x v="6"/>
    <x v="38"/>
    <x v="35"/>
    <x v="34"/>
    <x v="35"/>
    <x v="35"/>
    <x v="34"/>
    <x v="34"/>
    <x v="34"/>
    <x v="36"/>
    <x v="36"/>
    <x v="37"/>
    <x v="36"/>
    <x v="37"/>
    <n v="7295"/>
    <s v="C2"/>
    <s v="Sedan"/>
    <n v="-22"/>
    <n v="-5"/>
  </r>
  <r>
    <x v="6"/>
    <x v="39"/>
    <x v="36"/>
    <x v="35"/>
    <x v="36"/>
    <x v="36"/>
    <x v="35"/>
    <x v="35"/>
    <x v="35"/>
    <x v="37"/>
    <x v="37"/>
    <x v="38"/>
    <x v="37"/>
    <x v="38"/>
    <n v="167988"/>
    <s v="C1"/>
    <s v="Sedan"/>
    <n v="41"/>
    <n v="18"/>
  </r>
  <r>
    <x v="6"/>
    <x v="40"/>
    <x v="37"/>
    <x v="36"/>
    <x v="37"/>
    <x v="37"/>
    <x v="36"/>
    <x v="36"/>
    <x v="36"/>
    <x v="38"/>
    <x v="38"/>
    <x v="39"/>
    <x v="38"/>
    <x v="39"/>
    <n v="138705"/>
    <s v="Utility"/>
    <s v="MUV"/>
    <n v="10"/>
    <n v="16"/>
  </r>
  <r>
    <x v="6"/>
    <x v="41"/>
    <x v="38"/>
    <x v="37"/>
    <x v="38"/>
    <x v="38"/>
    <x v="37"/>
    <x v="37"/>
    <x v="37"/>
    <x v="39"/>
    <x v="39"/>
    <x v="40"/>
    <x v="39"/>
    <x v="40"/>
    <n v="190091"/>
    <s v="Utility"/>
    <s v="MUV"/>
    <n v="6"/>
    <n v="24"/>
  </r>
  <r>
    <x v="6"/>
    <x v="42"/>
    <x v="39"/>
    <x v="38"/>
    <x v="39"/>
    <x v="39"/>
    <x v="38"/>
    <x v="38"/>
    <x v="38"/>
    <x v="40"/>
    <x v="40"/>
    <x v="41"/>
    <x v="40"/>
    <x v="41"/>
    <n v="156236"/>
    <s v="C1"/>
    <s v="SUV"/>
    <n v="-28"/>
    <n v="11"/>
  </r>
  <r>
    <x v="6"/>
    <x v="43"/>
    <x v="40"/>
    <x v="39"/>
    <x v="40"/>
    <x v="40"/>
    <x v="39"/>
    <x v="39"/>
    <x v="39"/>
    <x v="41"/>
    <x v="41"/>
    <x v="42"/>
    <x v="41"/>
    <x v="42"/>
    <n v="122747"/>
    <s v="C2"/>
    <s v="SUV"/>
    <n v="-30"/>
    <n v="2"/>
  </r>
  <r>
    <x v="6"/>
    <x v="44"/>
    <x v="41"/>
    <x v="40"/>
    <x v="41"/>
    <x v="41"/>
    <x v="40"/>
    <x v="40"/>
    <x v="40"/>
    <x v="42"/>
    <x v="42"/>
    <x v="43"/>
    <x v="42"/>
    <x v="43"/>
    <n v="24750"/>
    <s v="B2"/>
    <s v="Hatchback"/>
    <n v="-66"/>
    <n v="91"/>
  </r>
  <r>
    <x v="6"/>
    <x v="45"/>
    <x v="42"/>
    <x v="41"/>
    <x v="42"/>
    <x v="42"/>
    <x v="41"/>
    <x v="41"/>
    <x v="41"/>
    <x v="43"/>
    <x v="43"/>
    <x v="44"/>
    <x v="43"/>
    <x v="44"/>
    <n v="4016"/>
    <s v="D1"/>
    <s v="MUV"/>
    <n v="90"/>
    <n v="64"/>
  </r>
  <r>
    <x v="6"/>
    <x v="46"/>
    <x v="43"/>
    <x v="42"/>
    <x v="43"/>
    <x v="43"/>
    <x v="42"/>
    <x v="42"/>
    <x v="42"/>
    <x v="44"/>
    <x v="44"/>
    <x v="45"/>
    <x v="44"/>
    <x v="45"/>
    <n v="8734"/>
    <s v="Utility"/>
    <s v="SUV"/>
    <n v="11"/>
    <n v="51"/>
  </r>
  <r>
    <x v="6"/>
    <x v="47"/>
    <x v="44"/>
    <x v="43"/>
    <x v="44"/>
    <x v="44"/>
    <x v="43"/>
    <x v="43"/>
    <x v="43"/>
    <x v="45"/>
    <x v="45"/>
    <x v="46"/>
    <x v="45"/>
    <x v="46"/>
    <n v="26180"/>
    <s v="A"/>
    <s v="Hatchback"/>
    <n v="-100"/>
    <n v="-87"/>
  </r>
  <r>
    <x v="6"/>
    <x v="48"/>
    <x v="45"/>
    <x v="44"/>
    <x v="45"/>
    <x v="45"/>
    <x v="44"/>
    <x v="44"/>
    <x v="44"/>
    <x v="46"/>
    <x v="46"/>
    <x v="47"/>
    <x v="46"/>
    <x v="47"/>
    <n v="172808"/>
    <s v="B2"/>
    <s v="Hatchback"/>
    <n v="-29"/>
    <n v="-12"/>
  </r>
  <r>
    <x v="6"/>
    <x v="49"/>
    <x v="46"/>
    <x v="45"/>
    <x v="46"/>
    <x v="46"/>
    <x v="45"/>
    <x v="45"/>
    <x v="45"/>
    <x v="47"/>
    <x v="47"/>
    <x v="48"/>
    <x v="47"/>
    <x v="48"/>
    <n v="190855"/>
    <s v="B1"/>
    <s v="Hatchback"/>
    <n v="24"/>
    <n v="102"/>
  </r>
  <r>
    <x v="6"/>
    <x v="50"/>
    <x v="47"/>
    <x v="46"/>
    <x v="47"/>
    <x v="47"/>
    <x v="46"/>
    <x v="46"/>
    <x v="46"/>
    <x v="48"/>
    <x v="48"/>
    <x v="49"/>
    <x v="48"/>
    <x v="49"/>
    <n v="40686"/>
    <s v="Utility"/>
    <s v="MUV"/>
    <n v="0"/>
    <n v="12"/>
  </r>
  <r>
    <x v="7"/>
    <x v="51"/>
    <x v="48"/>
    <x v="47"/>
    <x v="48"/>
    <x v="48"/>
    <x v="47"/>
    <x v="47"/>
    <x v="47"/>
    <x v="49"/>
    <x v="49"/>
    <x v="50"/>
    <x v="49"/>
    <x v="50"/>
    <n v="10865"/>
    <s v="C2"/>
    <s v="SUV"/>
    <n v="28"/>
    <n v="-15"/>
  </r>
  <r>
    <x v="7"/>
    <x v="52"/>
    <x v="49"/>
    <x v="48"/>
    <x v="49"/>
    <x v="49"/>
    <x v="48"/>
    <x v="48"/>
    <x v="48"/>
    <x v="50"/>
    <x v="50"/>
    <x v="51"/>
    <x v="50"/>
    <x v="50"/>
    <n v="11812"/>
    <s v="B1"/>
    <s v="Hatchback"/>
    <n v="17"/>
    <n v="-12"/>
  </r>
  <r>
    <x v="7"/>
    <x v="53"/>
    <x v="50"/>
    <x v="49"/>
    <x v="50"/>
    <x v="50"/>
    <x v="49"/>
    <x v="49"/>
    <x v="49"/>
    <x v="51"/>
    <x v="51"/>
    <x v="52"/>
    <x v="51"/>
    <x v="51"/>
    <n v="1870"/>
    <s v="D2"/>
    <s v="SUV"/>
    <n v="-28"/>
    <n v="-29"/>
  </r>
  <r>
    <x v="7"/>
    <x v="54"/>
    <x v="51"/>
    <x v="50"/>
    <x v="51"/>
    <x v="51"/>
    <x v="50"/>
    <x v="50"/>
    <x v="50"/>
    <x v="52"/>
    <x v="52"/>
    <x v="53"/>
    <x v="52"/>
    <x v="52"/>
    <n v="19639"/>
    <s v="D1"/>
    <s v="SUV"/>
    <n v="24"/>
    <n v="-37"/>
  </r>
  <r>
    <x v="7"/>
    <x v="55"/>
    <x v="0"/>
    <x v="0"/>
    <x v="0"/>
    <x v="0"/>
    <x v="0"/>
    <x v="0"/>
    <x v="0"/>
    <x v="15"/>
    <x v="15"/>
    <x v="54"/>
    <x v="53"/>
    <x v="53"/>
    <n v="10045"/>
    <s v="C2"/>
    <s v="MUV"/>
    <n v="20"/>
    <n v="0"/>
  </r>
  <r>
    <x v="7"/>
    <x v="56"/>
    <x v="52"/>
    <x v="51"/>
    <x v="52"/>
    <x v="52"/>
    <x v="51"/>
    <x v="51"/>
    <x v="51"/>
    <x v="53"/>
    <x v="53"/>
    <x v="55"/>
    <x v="54"/>
    <x v="54"/>
    <n v="6983"/>
    <s v="Premium"/>
    <s v="SUV"/>
    <n v="78"/>
    <n v="85"/>
  </r>
  <r>
    <x v="8"/>
    <x v="57"/>
    <x v="53"/>
    <x v="52"/>
    <x v="53"/>
    <x v="53"/>
    <x v="52"/>
    <x v="52"/>
    <x v="52"/>
    <x v="54"/>
    <x v="54"/>
    <x v="56"/>
    <x v="55"/>
    <x v="55"/>
    <n v="28987"/>
    <s v="C1"/>
    <s v="SUV"/>
    <n v="-10"/>
    <n v="-2"/>
  </r>
  <r>
    <x v="8"/>
    <x v="58"/>
    <x v="0"/>
    <x v="0"/>
    <x v="0"/>
    <x v="0"/>
    <x v="0"/>
    <x v="0"/>
    <x v="0"/>
    <x v="55"/>
    <x v="55"/>
    <x v="57"/>
    <x v="3"/>
    <x v="3"/>
    <n v="22"/>
    <s v="D2"/>
    <s v="SUV"/>
    <n v="0"/>
    <n v="0"/>
  </r>
  <r>
    <x v="9"/>
    <x v="59"/>
    <x v="54"/>
    <x v="53"/>
    <x v="54"/>
    <x v="54"/>
    <x v="53"/>
    <x v="53"/>
    <x v="53"/>
    <x v="56"/>
    <x v="56"/>
    <x v="58"/>
    <x v="56"/>
    <x v="56"/>
    <n v="11000"/>
    <s v="C1"/>
    <s v="SUV"/>
    <n v="-24"/>
    <n v="-31"/>
  </r>
  <r>
    <x v="9"/>
    <x v="60"/>
    <x v="55"/>
    <x v="54"/>
    <x v="55"/>
    <x v="55"/>
    <x v="54"/>
    <x v="54"/>
    <x v="54"/>
    <x v="57"/>
    <x v="57"/>
    <x v="59"/>
    <x v="57"/>
    <x v="57"/>
    <n v="8705"/>
    <s v="A"/>
    <s v="Hatchback"/>
    <n v="15"/>
    <n v="37"/>
  </r>
  <r>
    <x v="9"/>
    <x v="61"/>
    <x v="56"/>
    <x v="55"/>
    <x v="56"/>
    <x v="56"/>
    <x v="55"/>
    <x v="55"/>
    <x v="55"/>
    <x v="58"/>
    <x v="58"/>
    <x v="60"/>
    <x v="58"/>
    <x v="58"/>
    <n v="22024"/>
    <s v="Utility"/>
    <s v="MUV"/>
    <n v="12"/>
    <n v="149"/>
  </r>
  <r>
    <x v="10"/>
    <x v="62"/>
    <x v="57"/>
    <x v="56"/>
    <x v="57"/>
    <x v="57"/>
    <x v="56"/>
    <x v="56"/>
    <x v="56"/>
    <x v="59"/>
    <x v="59"/>
    <x v="61"/>
    <x v="59"/>
    <x v="59"/>
    <n v="1907"/>
    <s v="D2"/>
    <s v="SUV"/>
    <n v="-14"/>
    <n v="-14"/>
  </r>
  <r>
    <x v="10"/>
    <x v="63"/>
    <x v="58"/>
    <x v="57"/>
    <x v="58"/>
    <x v="58"/>
    <x v="57"/>
    <x v="57"/>
    <x v="57"/>
    <x v="60"/>
    <x v="60"/>
    <x v="62"/>
    <x v="60"/>
    <x v="60"/>
    <n v="17567"/>
    <s v="C2"/>
    <s v="SUV"/>
    <n v="62"/>
    <n v="-1"/>
  </r>
  <r>
    <x v="10"/>
    <x v="64"/>
    <x v="59"/>
    <x v="58"/>
    <x v="59"/>
    <x v="59"/>
    <x v="58"/>
    <x v="58"/>
    <x v="58"/>
    <x v="61"/>
    <x v="61"/>
    <x v="63"/>
    <x v="61"/>
    <x v="61"/>
    <n v="15617"/>
    <s v="C2"/>
    <s v="Sedan"/>
    <n v="67"/>
    <n v="-3"/>
  </r>
  <r>
    <x v="10"/>
    <x v="65"/>
    <x v="0"/>
    <x v="0"/>
    <x v="60"/>
    <x v="60"/>
    <x v="59"/>
    <x v="59"/>
    <x v="0"/>
    <x v="62"/>
    <x v="62"/>
    <x v="64"/>
    <x v="62"/>
    <x v="3"/>
    <n v="66"/>
    <s v="D2"/>
    <s v="Sedan"/>
    <n v="-83"/>
    <n v="0"/>
  </r>
  <r>
    <x v="11"/>
    <x v="66"/>
    <x v="60"/>
    <x v="59"/>
    <x v="61"/>
    <x v="61"/>
    <x v="60"/>
    <x v="60"/>
    <x v="59"/>
    <x v="63"/>
    <x v="63"/>
    <x v="65"/>
    <x v="63"/>
    <x v="62"/>
    <n v="45380"/>
    <s v="B2"/>
    <s v="Hatchback"/>
    <n v="-10"/>
    <n v="-54"/>
  </r>
  <r>
    <x v="11"/>
    <x v="67"/>
    <x v="0"/>
    <x v="0"/>
    <x v="0"/>
    <x v="0"/>
    <x v="0"/>
    <x v="0"/>
    <x v="0"/>
    <x v="64"/>
    <x v="64"/>
    <x v="66"/>
    <x v="64"/>
    <x v="63"/>
    <n v="23664"/>
    <s v="C2"/>
    <s v="SUV"/>
    <n v="-2"/>
    <n v="0"/>
  </r>
  <r>
    <x v="11"/>
    <x v="68"/>
    <x v="61"/>
    <x v="60"/>
    <x v="62"/>
    <x v="62"/>
    <x v="61"/>
    <x v="61"/>
    <x v="60"/>
    <x v="65"/>
    <x v="65"/>
    <x v="67"/>
    <x v="65"/>
    <x v="64"/>
    <n v="22071"/>
    <s v="D1"/>
    <s v="SUV"/>
    <n v="-5"/>
    <n v="-7"/>
  </r>
  <r>
    <x v="11"/>
    <x v="69"/>
    <x v="62"/>
    <x v="61"/>
    <x v="63"/>
    <x v="63"/>
    <x v="62"/>
    <x v="62"/>
    <x v="61"/>
    <x v="66"/>
    <x v="66"/>
    <x v="68"/>
    <x v="66"/>
    <x v="65"/>
    <n v="161611"/>
    <s v="C1"/>
    <s v="SUV"/>
    <n v="-12"/>
    <n v="-11"/>
  </r>
  <r>
    <x v="11"/>
    <x v="70"/>
    <x v="63"/>
    <x v="62"/>
    <x v="64"/>
    <x v="64"/>
    <x v="63"/>
    <x v="63"/>
    <x v="62"/>
    <x v="67"/>
    <x v="67"/>
    <x v="69"/>
    <x v="67"/>
    <x v="66"/>
    <n v="202031"/>
    <s v="C1"/>
    <s v="SUV"/>
    <n v="-2"/>
    <n v="9"/>
  </r>
  <r>
    <x v="11"/>
    <x v="71"/>
    <x v="64"/>
    <x v="63"/>
    <x v="65"/>
    <x v="65"/>
    <x v="64"/>
    <x v="64"/>
    <x v="63"/>
    <x v="68"/>
    <x v="68"/>
    <x v="70"/>
    <x v="68"/>
    <x v="67"/>
    <n v="23113"/>
    <s v="D1"/>
    <s v="SUV"/>
    <n v="-11"/>
    <n v="-34"/>
  </r>
  <r>
    <x v="11"/>
    <x v="72"/>
    <x v="65"/>
    <x v="64"/>
    <x v="66"/>
    <x v="66"/>
    <x v="65"/>
    <x v="65"/>
    <x v="64"/>
    <x v="69"/>
    <x v="69"/>
    <x v="71"/>
    <x v="69"/>
    <x v="68"/>
    <n v="67337"/>
    <s v="B1"/>
    <s v="Hatchback"/>
    <n v="-6"/>
    <n v="3"/>
  </r>
  <r>
    <x v="11"/>
    <x v="73"/>
    <x v="66"/>
    <x v="65"/>
    <x v="67"/>
    <x v="67"/>
    <x v="66"/>
    <x v="66"/>
    <x v="65"/>
    <x v="70"/>
    <x v="70"/>
    <x v="72"/>
    <x v="70"/>
    <x v="69"/>
    <n v="17692"/>
    <s v="C1"/>
    <s v="Sedan"/>
    <n v="23"/>
    <n v="-46"/>
  </r>
  <r>
    <x v="12"/>
    <x v="74"/>
    <x v="67"/>
    <x v="66"/>
    <x v="68"/>
    <x v="68"/>
    <x v="67"/>
    <x v="67"/>
    <x v="66"/>
    <x v="71"/>
    <x v="71"/>
    <x v="52"/>
    <x v="71"/>
    <x v="70"/>
    <n v="1999"/>
    <s v="D2"/>
    <s v="Sedan"/>
    <n v="-32"/>
    <n v="-51"/>
  </r>
  <r>
    <x v="12"/>
    <x v="75"/>
    <x v="68"/>
    <x v="67"/>
    <x v="69"/>
    <x v="69"/>
    <x v="68"/>
    <x v="68"/>
    <x v="67"/>
    <x v="72"/>
    <x v="72"/>
    <x v="73"/>
    <x v="72"/>
    <x v="71"/>
    <n v="33597"/>
    <s v="D2"/>
    <s v="SUV"/>
    <n v="-23"/>
    <n v="-29"/>
  </r>
  <r>
    <x v="12"/>
    <x v="76"/>
    <x v="69"/>
    <x v="68"/>
    <x v="70"/>
    <x v="70"/>
    <x v="69"/>
    <x v="69"/>
    <x v="68"/>
    <x v="73"/>
    <x v="73"/>
    <x v="74"/>
    <x v="73"/>
    <x v="72"/>
    <n v="49927"/>
    <s v="B2"/>
    <s v="Hatchback"/>
    <n v="-8"/>
    <n v="-15"/>
  </r>
  <r>
    <x v="12"/>
    <x v="77"/>
    <x v="70"/>
    <x v="69"/>
    <x v="71"/>
    <x v="71"/>
    <x v="70"/>
    <x v="70"/>
    <x v="69"/>
    <x v="74"/>
    <x v="74"/>
    <x v="75"/>
    <x v="74"/>
    <x v="73"/>
    <n v="2902"/>
    <s v="D2"/>
    <s v="Others"/>
    <n v="14"/>
    <n v="-47"/>
  </r>
  <r>
    <x v="12"/>
    <x v="78"/>
    <x v="71"/>
    <x v="70"/>
    <x v="72"/>
    <x v="72"/>
    <x v="71"/>
    <x v="71"/>
    <x v="70"/>
    <x v="75"/>
    <x v="75"/>
    <x v="76"/>
    <x v="75"/>
    <x v="74"/>
    <n v="62956"/>
    <s v="C2"/>
    <s v="SUV"/>
    <n v="-2"/>
    <n v="-4"/>
  </r>
  <r>
    <x v="12"/>
    <x v="79"/>
    <x v="72"/>
    <x v="71"/>
    <x v="73"/>
    <x v="73"/>
    <x v="72"/>
    <x v="72"/>
    <x v="71"/>
    <x v="76"/>
    <x v="76"/>
    <x v="77"/>
    <x v="76"/>
    <x v="75"/>
    <n v="106900"/>
    <s v="D1"/>
    <s v="MUV"/>
    <n v="23"/>
    <n v="24"/>
  </r>
  <r>
    <x v="12"/>
    <x v="80"/>
    <x v="0"/>
    <x v="0"/>
    <x v="0"/>
    <x v="0"/>
    <x v="0"/>
    <x v="0"/>
    <x v="0"/>
    <x v="15"/>
    <x v="15"/>
    <x v="15"/>
    <x v="3"/>
    <x v="15"/>
    <n v="0"/>
    <s v="Premium"/>
    <s v="SUV"/>
    <n v="0"/>
    <n v="0"/>
  </r>
  <r>
    <x v="12"/>
    <x v="81"/>
    <x v="73"/>
    <x v="72"/>
    <x v="74"/>
    <x v="74"/>
    <x v="73"/>
    <x v="73"/>
    <x v="72"/>
    <x v="77"/>
    <x v="77"/>
    <x v="78"/>
    <x v="77"/>
    <x v="76"/>
    <n v="18099"/>
    <s v="_x000a_Utility"/>
    <s v="MUV"/>
    <n v="-2"/>
    <n v="113"/>
  </r>
  <r>
    <x v="12"/>
    <x v="82"/>
    <x v="0"/>
    <x v="0"/>
    <x v="0"/>
    <x v="0"/>
    <x v="74"/>
    <x v="74"/>
    <x v="73"/>
    <x v="78"/>
    <x v="78"/>
    <x v="79"/>
    <x v="78"/>
    <x v="77"/>
    <n v="22836"/>
    <s v="C1"/>
    <s v="Hatchback"/>
    <n v="-27"/>
    <n v="0"/>
  </r>
  <r>
    <x v="12"/>
    <x v="83"/>
    <x v="74"/>
    <x v="73"/>
    <x v="75"/>
    <x v="21"/>
    <x v="75"/>
    <x v="75"/>
    <x v="74"/>
    <x v="79"/>
    <x v="79"/>
    <x v="80"/>
    <x v="79"/>
    <x v="78"/>
    <n v="943"/>
    <s v="Premium"/>
    <s v="MUV"/>
    <n v="-27"/>
    <n v="70"/>
  </r>
  <r>
    <x v="13"/>
    <x v="84"/>
    <x v="75"/>
    <x v="74"/>
    <x v="76"/>
    <x v="75"/>
    <x v="76"/>
    <x v="76"/>
    <x v="75"/>
    <x v="80"/>
    <x v="80"/>
    <x v="81"/>
    <x v="80"/>
    <x v="79"/>
    <n v="19650"/>
    <s v="C2"/>
    <s v="SUV"/>
    <n v="56"/>
    <n v="-5"/>
  </r>
  <r>
    <x v="13"/>
    <x v="85"/>
    <x v="76"/>
    <x v="75"/>
    <x v="77"/>
    <x v="76"/>
    <x v="77"/>
    <x v="77"/>
    <x v="76"/>
    <x v="81"/>
    <x v="81"/>
    <x v="82"/>
    <x v="81"/>
    <x v="80"/>
    <n v="1193"/>
    <s v="D2"/>
    <s v="SUV"/>
    <n v="147"/>
    <n v="-29"/>
  </r>
  <r>
    <x v="13"/>
    <x v="86"/>
    <x v="77"/>
    <x v="76"/>
    <x v="78"/>
    <x v="77"/>
    <x v="78"/>
    <x v="78"/>
    <x v="77"/>
    <x v="82"/>
    <x v="82"/>
    <x v="83"/>
    <x v="82"/>
    <x v="81"/>
    <n v="21210"/>
    <s v="C2"/>
    <s v="Sedan"/>
    <n v="55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F2EFF-04FA-4626-B070-F2B715E09B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d &gt; Model">
  <location ref="A3:C105" firstHeaderRow="0" firstDataRow="1" firstDataCol="1"/>
  <pivotFields count="19">
    <pivotField axis="axisRow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>
      <items count="88">
        <item x="2"/>
        <item x="9"/>
        <item x="34"/>
        <item x="66"/>
        <item x="5"/>
        <item x="51"/>
        <item x="8"/>
        <item x="35"/>
        <item x="0"/>
        <item x="27"/>
        <item x="36"/>
        <item x="1"/>
        <item x="3"/>
        <item x="74"/>
        <item x="22"/>
        <item x="23"/>
        <item x="37"/>
        <item x="38"/>
        <item x="6"/>
        <item x="52"/>
        <item x="19"/>
        <item x="10"/>
        <item x="67"/>
        <item x="39"/>
        <item x="4"/>
        <item x="40"/>
        <item x="7"/>
        <item x="41"/>
        <item x="24"/>
        <item x="11"/>
        <item x="75"/>
        <item x="42"/>
        <item x="76"/>
        <item x="53"/>
        <item x="12"/>
        <item x="43"/>
        <item x="68"/>
        <item x="54"/>
        <item x="77"/>
        <item x="78"/>
        <item x="13"/>
        <item x="44"/>
        <item x="79"/>
        <item x="45"/>
        <item x="14"/>
        <item x="46"/>
        <item x="59"/>
        <item x="62"/>
        <item x="15"/>
        <item x="63"/>
        <item x="60"/>
        <item x="80"/>
        <item x="57"/>
        <item x="28"/>
        <item x="20"/>
        <item x="69"/>
        <item x="70"/>
        <item x="81"/>
        <item x="71"/>
        <item x="29"/>
        <item x="25"/>
        <item x="64"/>
        <item x="26"/>
        <item x="47"/>
        <item x="65"/>
        <item x="48"/>
        <item x="84"/>
        <item x="82"/>
        <item x="30"/>
        <item x="72"/>
        <item x="73"/>
        <item x="85"/>
        <item x="61"/>
        <item x="16"/>
        <item x="83"/>
        <item x="17"/>
        <item x="18"/>
        <item x="86"/>
        <item x="49"/>
        <item x="55"/>
        <item x="21"/>
        <item x="50"/>
        <item x="58"/>
        <item x="31"/>
        <item x="32"/>
        <item x="33"/>
        <item x="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0"/>
    <field x="1"/>
  </rowFields>
  <rowItems count="102">
    <i>
      <x v="6"/>
    </i>
    <i r="1">
      <x v="2"/>
    </i>
    <i r="1">
      <x v="7"/>
    </i>
    <i r="1">
      <x v="10"/>
    </i>
    <i r="1">
      <x v="16"/>
    </i>
    <i r="1">
      <x v="17"/>
    </i>
    <i r="1">
      <x v="23"/>
    </i>
    <i r="1">
      <x v="25"/>
    </i>
    <i r="1">
      <x v="27"/>
    </i>
    <i r="1">
      <x v="31"/>
    </i>
    <i r="1">
      <x v="35"/>
    </i>
    <i r="1">
      <x v="41"/>
    </i>
    <i r="1">
      <x v="43"/>
    </i>
    <i r="1">
      <x v="45"/>
    </i>
    <i r="1">
      <x v="63"/>
    </i>
    <i r="1">
      <x v="65"/>
    </i>
    <i r="1">
      <x v="78"/>
    </i>
    <i r="1">
      <x v="81"/>
    </i>
    <i>
      <x v="2"/>
    </i>
    <i r="1">
      <x v="1"/>
    </i>
    <i r="1">
      <x v="6"/>
    </i>
    <i r="1">
      <x v="21"/>
    </i>
    <i r="1">
      <x v="29"/>
    </i>
    <i r="1">
      <x v="34"/>
    </i>
    <i r="1">
      <x v="40"/>
    </i>
    <i r="1">
      <x v="44"/>
    </i>
    <i r="1">
      <x v="48"/>
    </i>
    <i r="1">
      <x v="73"/>
    </i>
    <i r="1">
      <x v="75"/>
    </i>
    <i r="1">
      <x v="76"/>
    </i>
    <i>
      <x v="11"/>
    </i>
    <i r="1">
      <x v="3"/>
    </i>
    <i r="1">
      <x v="22"/>
    </i>
    <i r="1">
      <x v="36"/>
    </i>
    <i r="1">
      <x v="55"/>
    </i>
    <i r="1">
      <x v="56"/>
    </i>
    <i r="1">
      <x v="58"/>
    </i>
    <i r="1">
      <x v="69"/>
    </i>
    <i r="1">
      <x v="70"/>
    </i>
    <i>
      <x v="5"/>
    </i>
    <i r="1">
      <x v="9"/>
    </i>
    <i r="1">
      <x v="53"/>
    </i>
    <i r="1">
      <x v="59"/>
    </i>
    <i r="1">
      <x v="68"/>
    </i>
    <i r="1">
      <x v="83"/>
    </i>
    <i r="1">
      <x v="84"/>
    </i>
    <i r="1">
      <x v="85"/>
    </i>
    <i>
      <x v="12"/>
    </i>
    <i r="1">
      <x v="13"/>
    </i>
    <i r="1">
      <x v="30"/>
    </i>
    <i r="1">
      <x v="32"/>
    </i>
    <i r="1">
      <x v="38"/>
    </i>
    <i r="1">
      <x v="39"/>
    </i>
    <i r="1">
      <x v="42"/>
    </i>
    <i r="1">
      <x v="51"/>
    </i>
    <i r="1">
      <x v="57"/>
    </i>
    <i r="1">
      <x v="67"/>
    </i>
    <i r="1">
      <x v="74"/>
    </i>
    <i>
      <x v="4"/>
    </i>
    <i r="1">
      <x v="14"/>
    </i>
    <i r="1">
      <x v="15"/>
    </i>
    <i r="1">
      <x v="28"/>
    </i>
    <i r="1">
      <x v="60"/>
    </i>
    <i r="1">
      <x v="62"/>
    </i>
    <i>
      <x v="1"/>
    </i>
    <i r="1">
      <x v="4"/>
    </i>
    <i r="1">
      <x v="18"/>
    </i>
    <i r="1">
      <x v="26"/>
    </i>
    <i>
      <x v="7"/>
    </i>
    <i r="1">
      <x v="5"/>
    </i>
    <i r="1">
      <x v="19"/>
    </i>
    <i r="1">
      <x v="33"/>
    </i>
    <i r="1">
      <x v="37"/>
    </i>
    <i r="1">
      <x v="79"/>
    </i>
    <i r="1">
      <x v="86"/>
    </i>
    <i>
      <x v="13"/>
    </i>
    <i r="1">
      <x v="66"/>
    </i>
    <i r="1">
      <x v="71"/>
    </i>
    <i r="1">
      <x v="77"/>
    </i>
    <i>
      <x v="9"/>
    </i>
    <i r="1">
      <x v="46"/>
    </i>
    <i r="1">
      <x v="50"/>
    </i>
    <i r="1">
      <x v="72"/>
    </i>
    <i>
      <x v="10"/>
    </i>
    <i r="1">
      <x v="47"/>
    </i>
    <i r="1">
      <x v="49"/>
    </i>
    <i r="1">
      <x v="61"/>
    </i>
    <i r="1">
      <x v="64"/>
    </i>
    <i>
      <x v="8"/>
    </i>
    <i r="1">
      <x v="52"/>
    </i>
    <i r="1">
      <x v="82"/>
    </i>
    <i>
      <x/>
    </i>
    <i r="1">
      <x/>
    </i>
    <i r="1">
      <x v="8"/>
    </i>
    <i r="1">
      <x v="11"/>
    </i>
    <i r="1">
      <x v="12"/>
    </i>
    <i r="1">
      <x v="24"/>
    </i>
    <i>
      <x v="3"/>
    </i>
    <i r="1">
      <x v="20"/>
    </i>
    <i r="1">
      <x v="54"/>
    </i>
    <i r="1">
      <x v="80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Units Sold" fld="14" baseField="0" baseItem="0"/>
    <dataField name="Market Share" fld="1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521EBE-3924-4569-9C2C-06DAEB3111CA}" name="Table2" displayName="Table2" ref="A1:S88" totalsRowShown="0" headerRowDxfId="21" dataDxfId="20" tableBorderDxfId="19">
  <autoFilter ref="A1:S88" xr:uid="{B4521EBE-3924-4569-9C2C-06DAEB3111CA}"/>
  <tableColumns count="19">
    <tableColumn id="1" xr3:uid="{F0E0B91C-1235-4437-B169-8895B148ECB4}" name="Brand" dataDxfId="18"/>
    <tableColumn id="2" xr3:uid="{BC36B4F2-0A87-4155-A397-28B326612047}" name="Model" dataDxfId="17"/>
    <tableColumn id="3" xr3:uid="{D683BA47-D519-4074-AFB1-999A8329B206}" name="January" dataDxfId="16"/>
    <tableColumn id="4" xr3:uid="{6E09B4EF-8B13-4483-994A-1D4098F5B6D4}" name="February" dataDxfId="15"/>
    <tableColumn id="5" xr3:uid="{09E75321-FC6B-4C3B-9518-3C255ECF48DE}" name="March" dataDxfId="14"/>
    <tableColumn id="6" xr3:uid="{1661888F-15AA-4F5F-88B7-2DA1025AE351}" name="April" dataDxfId="13"/>
    <tableColumn id="7" xr3:uid="{73F07643-02FE-47F6-8E51-CFB5252CD807}" name="May" dataDxfId="12"/>
    <tableColumn id="8" xr3:uid="{3473C1DE-CF98-4B56-8016-552E8E9DF030}" name="June" dataDxfId="11"/>
    <tableColumn id="9" xr3:uid="{105FD07E-5802-4B70-8476-D5E71C4A1E8B}" name="July" dataDxfId="10"/>
    <tableColumn id="10" xr3:uid="{8D164515-3BDF-4A2F-91C5-590A1F29A9DA}" name="August" dataDxfId="9"/>
    <tableColumn id="11" xr3:uid="{1FF193FB-E0B7-4990-891F-3CEEAB509B95}" name="September" dataDxfId="8"/>
    <tableColumn id="12" xr3:uid="{0F8BAD48-746E-4BC5-B76F-59D5A3C3203F}" name="October " dataDxfId="7"/>
    <tableColumn id="13" xr3:uid="{E3FE9A19-4626-4AD7-A413-ADAB5B97D823}" name="November " dataDxfId="6"/>
    <tableColumn id="14" xr3:uid="{8716B8E2-8897-4B0A-82A0-8E248B620518}" name="December" dataDxfId="5"/>
    <tableColumn id="15" xr3:uid="{7F1DE861-0C37-4727-9EF4-2006203182AB}" name="Total" dataDxfId="4">
      <calculatedColumnFormula>SUM(C2:N2)</calculatedColumnFormula>
    </tableColumn>
    <tableColumn id="16" xr3:uid="{F03F7321-2E46-4B51-9DA3-82B0111D8DF0}" name="Segment" dataDxfId="3"/>
    <tableColumn id="17" xr3:uid="{9D29ADBB-4D79-4534-8BA0-C5D99EAB1C1F}" name="Body Type" dataDxfId="2"/>
    <tableColumn id="18" xr3:uid="{FBBFDD19-CD16-4A57-928D-6DF4BAA9086B}" name="MoM %" dataDxfId="1"/>
    <tableColumn id="19" xr3:uid="{0677FF83-56FC-4CCC-AE10-EB519B34059E}" name="YoY %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FF1266-B8CD-40AB-9001-710C009A81A1}" name="Table3" displayName="Table3" ref="A2:F3" totalsRowShown="0">
  <autoFilter ref="A2:F3" xr:uid="{85FF1266-B8CD-40AB-9001-710C009A81A1}"/>
  <tableColumns count="6">
    <tableColumn id="1" xr3:uid="{7182DB64-4912-455A-8F1E-B6DB000AC56D}" name="Linear Component"/>
    <tableColumn id="2" xr3:uid="{BF171352-0F6B-4EC4-9742-AC9205D2998A}" name="Curvature Component"/>
    <tableColumn id="3" xr3:uid="{181A88FD-B49E-4B7E-A304-A6196783DE45}" name="R_squared"/>
    <tableColumn id="4" xr3:uid="{3CFFF8A5-D339-4C32-A9A3-E0DA818ADE1E}" name="Jan_25_Forecast"/>
    <tableColumn id="5" xr3:uid="{EC72FBBA-2CBD-42A4-9774-C584CDEB53C4}" name="Feb_25_Forecast"/>
    <tableColumn id="6" xr3:uid="{3EBB1066-3317-4C40-8027-37ED9A258277}" name="Mar_25_Forecas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7F36B4-918A-48F5-9591-A9B7C85CCC5B}" name="Table8" displayName="Table8" ref="A6:G11" totalsRowShown="0">
  <autoFilter ref="A6:G11" xr:uid="{4B7F36B4-918A-48F5-9591-A9B7C85CCC5B}"/>
  <tableColumns count="7">
    <tableColumn id="1" xr3:uid="{663B7ECE-E718-492D-B56F-89D574C83B12}" name="Brand"/>
    <tableColumn id="2" xr3:uid="{3506A75E-11D0-4EF9-98A9-CA5286AD4722}" name="Linear Component"/>
    <tableColumn id="3" xr3:uid="{4DF78474-0264-41F2-9540-2B0CDA25C8C4}" name="Curvature Component"/>
    <tableColumn id="4" xr3:uid="{082A6F82-6EAB-4154-8CEF-579B5A8AF6BE}" name="R_squared"/>
    <tableColumn id="5" xr3:uid="{9A3B8F24-2DFD-42E4-9871-A40C96DF5654}" name="Jan_25_Forecast"/>
    <tableColumn id="6" xr3:uid="{784CD786-A206-483E-BC19-44A9A421B2E5}" name="Feb_25_Forecast"/>
    <tableColumn id="7" xr3:uid="{195639CD-8F72-4AA4-8252-E6E402DD146A}" name="Mar_25_Forecas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4A7DD4-1BBB-4A6A-8DAC-7B5D7AD9B45C}" name="Table6" displayName="Table6" ref="A1:D169" totalsRowShown="0">
  <autoFilter ref="A1:D169" xr:uid="{DC4A7DD4-1BBB-4A6A-8DAC-7B5D7AD9B45C}"/>
  <tableColumns count="4">
    <tableColumn id="1" xr3:uid="{60D86920-4166-45F8-B220-5781E99D3EAD}" name="Brand"/>
    <tableColumn id="2" xr3:uid="{6C66D5EC-F673-44EB-8961-F857958B83F1}" name="Month_Display"/>
    <tableColumn id="3" xr3:uid="{0327EE91-5003-44C4-A6A9-9846D3CAA1BA}" name="Units_sold"/>
    <tableColumn id="4" xr3:uid="{2B4000B9-EF43-480F-94AC-02D30BD2D9A9}" name="market_share_pc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43A077-1C51-476C-9540-9992D6BD654B}" name="Table5" displayName="Table5" ref="A1:E169" totalsRowShown="0">
  <autoFilter ref="A1:E169" xr:uid="{0243A077-1C51-476C-9540-9992D6BD654B}"/>
  <tableColumns count="5">
    <tableColumn id="1" xr3:uid="{63E8963E-EB90-4DCA-87D4-0316E16DD83B}" name="Brand"/>
    <tableColumn id="2" xr3:uid="{3C3ECE3B-DB05-43A0-9E68-EC7FF8C122B6}" name="Month_Display"/>
    <tableColumn id="3" xr3:uid="{A5DF26A0-9679-45C4-A03F-70185359D990}" name="Units_sold"/>
    <tableColumn id="4" xr3:uid="{678CE701-561A-48B1-ACCC-F4EB3C5A7E1D}" name="prev_months_sale"/>
    <tableColumn id="5" xr3:uid="{991FE310-4F2E-4746-B472-17D10A0A5B12}" name="mom_growth_pc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F5CE7-4A77-49FB-B981-E2D5EAD878F1}" name="Table1" displayName="Table1" ref="A1:C15" totalsRowShown="0">
  <autoFilter ref="A1:C15" xr:uid="{873F5CE7-4A77-49FB-B981-E2D5EAD878F1}"/>
  <tableColumns count="3">
    <tableColumn id="1" xr3:uid="{D20DF06E-1879-4F12-B8F8-13ECB6DDCFD9}" name="Brand"/>
    <tableColumn id="2" xr3:uid="{CB3C3D1C-BC23-43AE-85C2-2CF6EA1A3332}" name="total_units"/>
    <tableColumn id="3" xr3:uid="{510F4313-CA63-439C-8B12-7F1D336973DF}" name="brand_rank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4EC78D-A65D-4A7A-96CD-95662FC97072}" name="Table4" displayName="Table4" ref="A1:D15" totalsRowShown="0">
  <autoFilter ref="A1:D15" xr:uid="{174EC78D-A65D-4A7A-96CD-95662FC97072}"/>
  <tableColumns count="4">
    <tableColumn id="1" xr3:uid="{1FF394A6-2B51-4D9C-9A43-DBB24A3C1A60}" name="Brand"/>
    <tableColumn id="2" xr3:uid="{CCDFB4DF-EAFF-410A-8571-D1CA85A62405}" name="q1_units"/>
    <tableColumn id="3" xr3:uid="{20F6B4FD-2AFE-4E0A-985B-1D97546E76C9}" name="q4_units"/>
    <tableColumn id="4" xr3:uid="{8D9C176E-3E34-4BF9-8083-90978B326DAA}" name="full_year_growth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636FB0-3098-4F0E-995C-2DB00084AD55}" name="Table7" displayName="Table7" ref="A1:C15" totalsRowShown="0">
  <autoFilter ref="A1:C15" xr:uid="{56636FB0-3098-4F0E-995C-2DB00084AD55}"/>
  <sortState xmlns:xlrd2="http://schemas.microsoft.com/office/spreadsheetml/2017/richdata2" ref="A2:C15">
    <sortCondition descending="1" ref="C1:C15"/>
  </sortState>
  <tableColumns count="3">
    <tableColumn id="1" xr3:uid="{586B9517-B478-4B2B-AE8F-120FD529D30E}" name="Brand"/>
    <tableColumn id="2" xr3:uid="{4D7250BA-1BEC-4B74-BA76-2AD412E6915B}" name="Model"/>
    <tableColumn id="3" xr3:uid="{A32C8F3D-45AA-4A60-8899-54BB69ABCE6A}" name="total_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4F74-FD5B-4144-88CB-876834950A95}">
  <dimension ref="A1:Z88"/>
  <sheetViews>
    <sheetView workbookViewId="0">
      <selection activeCell="N12" sqref="N12"/>
    </sheetView>
  </sheetViews>
  <sheetFormatPr defaultRowHeight="14.4" x14ac:dyDescent="0.3"/>
  <cols>
    <col min="3" max="3" width="9.109375" customWidth="1"/>
    <col min="4" max="4" width="10.21875" customWidth="1"/>
    <col min="11" max="11" width="12.21875" customWidth="1"/>
    <col min="12" max="12" width="10" customWidth="1"/>
    <col min="13" max="13" width="11.88671875" customWidth="1"/>
    <col min="14" max="14" width="11.5546875" customWidth="1"/>
    <col min="16" max="16" width="10.21875" customWidth="1"/>
    <col min="17" max="17" width="11.21875" customWidth="1"/>
  </cols>
  <sheetData>
    <row r="1" spans="1:26" x14ac:dyDescent="0.3">
      <c r="A1" s="4" t="s">
        <v>139</v>
      </c>
      <c r="B1" s="4" t="s">
        <v>0</v>
      </c>
      <c r="C1" s="4" t="s">
        <v>35</v>
      </c>
      <c r="D1" s="5" t="s">
        <v>36</v>
      </c>
      <c r="E1" s="5" t="s">
        <v>37</v>
      </c>
      <c r="F1" s="4" t="s">
        <v>34</v>
      </c>
      <c r="G1" s="4" t="s">
        <v>38</v>
      </c>
      <c r="H1" s="4" t="s">
        <v>39</v>
      </c>
      <c r="I1" s="4" t="s">
        <v>130</v>
      </c>
      <c r="J1" s="4" t="s">
        <v>129</v>
      </c>
      <c r="K1" s="4" t="s">
        <v>128</v>
      </c>
      <c r="L1" s="4" t="s">
        <v>127</v>
      </c>
      <c r="M1" s="4" t="s">
        <v>126</v>
      </c>
      <c r="N1" s="5" t="s">
        <v>125</v>
      </c>
      <c r="O1" s="4" t="s">
        <v>131</v>
      </c>
      <c r="P1" s="4" t="s">
        <v>40</v>
      </c>
      <c r="Q1" s="4" t="s">
        <v>123</v>
      </c>
      <c r="R1" s="4" t="s">
        <v>41</v>
      </c>
      <c r="S1" s="4" t="s">
        <v>134</v>
      </c>
    </row>
    <row r="2" spans="1:26" x14ac:dyDescent="0.3">
      <c r="A2" s="1" t="s">
        <v>1</v>
      </c>
      <c r="B2" s="1" t="s">
        <v>48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579</v>
      </c>
      <c r="K2" s="1">
        <v>341</v>
      </c>
      <c r="L2" s="1">
        <v>221</v>
      </c>
      <c r="M2" s="1">
        <v>47</v>
      </c>
      <c r="N2" s="1">
        <v>79</v>
      </c>
      <c r="O2" s="1">
        <f>SUM(C2:N2)</f>
        <v>1267</v>
      </c>
      <c r="P2" s="1" t="s">
        <v>9</v>
      </c>
      <c r="Q2" s="1" t="s">
        <v>46</v>
      </c>
      <c r="R2" s="1">
        <v>68</v>
      </c>
      <c r="S2" s="1">
        <v>0</v>
      </c>
    </row>
    <row r="3" spans="1:26" x14ac:dyDescent="0.3">
      <c r="A3" s="1" t="s">
        <v>1</v>
      </c>
      <c r="B3" s="1" t="s">
        <v>2</v>
      </c>
      <c r="C3" s="1">
        <v>234</v>
      </c>
      <c r="D3" s="1">
        <v>211</v>
      </c>
      <c r="E3" s="1">
        <v>265</v>
      </c>
      <c r="F3" s="1">
        <v>251</v>
      </c>
      <c r="G3" s="1">
        <v>155</v>
      </c>
      <c r="H3" s="1">
        <v>77</v>
      </c>
      <c r="I3" s="1">
        <v>90</v>
      </c>
      <c r="J3" s="1">
        <v>507</v>
      </c>
      <c r="K3" s="1">
        <v>300</v>
      </c>
      <c r="L3" s="1">
        <v>300</v>
      </c>
      <c r="M3" s="1">
        <v>200</v>
      </c>
      <c r="N3" s="1">
        <v>300</v>
      </c>
      <c r="O3" s="1">
        <f t="shared" ref="O3:O66" si="0">SUM(C3:N3)</f>
        <v>2890</v>
      </c>
      <c r="P3" s="1" t="s">
        <v>43</v>
      </c>
      <c r="Q3" s="1" t="s">
        <v>47</v>
      </c>
      <c r="R3" s="1">
        <v>50</v>
      </c>
      <c r="S3" s="1">
        <v>-3</v>
      </c>
      <c r="V3" s="11" t="s">
        <v>135</v>
      </c>
      <c r="W3" s="12"/>
      <c r="X3" s="12"/>
      <c r="Y3" s="12"/>
      <c r="Z3" s="12"/>
    </row>
    <row r="4" spans="1:26" x14ac:dyDescent="0.3">
      <c r="A4" s="1" t="s">
        <v>1</v>
      </c>
      <c r="B4" s="1" t="s">
        <v>3</v>
      </c>
      <c r="C4" s="1">
        <v>231</v>
      </c>
      <c r="D4" s="1">
        <v>127</v>
      </c>
      <c r="E4" s="1">
        <v>211</v>
      </c>
      <c r="F4" s="1">
        <v>93</v>
      </c>
      <c r="G4" s="1">
        <v>125</v>
      </c>
      <c r="H4" s="1">
        <v>136</v>
      </c>
      <c r="I4" s="1">
        <v>68</v>
      </c>
      <c r="J4" s="1">
        <v>38</v>
      </c>
      <c r="K4" s="1">
        <v>41</v>
      </c>
      <c r="L4" s="1">
        <v>103</v>
      </c>
      <c r="M4" s="1">
        <v>201</v>
      </c>
      <c r="N4" s="1">
        <v>96</v>
      </c>
      <c r="O4" s="1">
        <f t="shared" si="0"/>
        <v>1470</v>
      </c>
      <c r="P4" s="1" t="s">
        <v>9</v>
      </c>
      <c r="Q4" s="1" t="s">
        <v>46</v>
      </c>
      <c r="R4" s="1">
        <v>-52</v>
      </c>
      <c r="S4" s="1">
        <v>-72</v>
      </c>
      <c r="V4" s="12"/>
      <c r="W4" s="12"/>
      <c r="X4" s="12"/>
      <c r="Y4" s="12"/>
      <c r="Z4" s="12"/>
    </row>
    <row r="5" spans="1:26" x14ac:dyDescent="0.3">
      <c r="A5" s="1" t="s">
        <v>1</v>
      </c>
      <c r="B5" s="1" t="s">
        <v>4</v>
      </c>
      <c r="C5" s="1">
        <v>1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1</v>
      </c>
      <c r="K5" s="1">
        <v>1</v>
      </c>
      <c r="L5" s="1">
        <v>4</v>
      </c>
      <c r="M5" s="1">
        <v>0</v>
      </c>
      <c r="N5" s="1">
        <v>1</v>
      </c>
      <c r="O5" s="1">
        <f t="shared" si="0"/>
        <v>9</v>
      </c>
      <c r="P5" s="1" t="s">
        <v>44</v>
      </c>
      <c r="Q5" s="1" t="s">
        <v>46</v>
      </c>
      <c r="R5" s="1">
        <v>0</v>
      </c>
      <c r="S5" s="1">
        <v>-50</v>
      </c>
      <c r="V5" s="12"/>
      <c r="W5" s="12"/>
      <c r="X5" s="12"/>
      <c r="Y5" s="12"/>
      <c r="Z5" s="12"/>
    </row>
    <row r="6" spans="1:26" x14ac:dyDescent="0.3">
      <c r="A6" s="1" t="s">
        <v>1</v>
      </c>
      <c r="B6" s="1" t="s">
        <v>5</v>
      </c>
      <c r="C6" s="1">
        <v>184</v>
      </c>
      <c r="D6" s="1">
        <v>83</v>
      </c>
      <c r="E6" s="1">
        <v>530</v>
      </c>
      <c r="F6" s="1">
        <v>59</v>
      </c>
      <c r="G6" s="1">
        <v>235</v>
      </c>
      <c r="H6" s="1">
        <v>126</v>
      </c>
      <c r="I6" s="1">
        <v>177</v>
      </c>
      <c r="J6" s="1">
        <v>150</v>
      </c>
      <c r="K6" s="1">
        <v>28</v>
      </c>
      <c r="L6" s="1">
        <v>89</v>
      </c>
      <c r="M6" s="1">
        <v>61</v>
      </c>
      <c r="N6" s="1">
        <v>90</v>
      </c>
      <c r="O6" s="1">
        <f t="shared" si="0"/>
        <v>1812</v>
      </c>
      <c r="P6" s="1" t="s">
        <v>43</v>
      </c>
      <c r="Q6" s="1" t="s">
        <v>46</v>
      </c>
      <c r="R6" s="1">
        <v>48</v>
      </c>
      <c r="S6" s="1">
        <v>0</v>
      </c>
      <c r="V6" s="12"/>
      <c r="W6" s="12"/>
      <c r="X6" s="12"/>
      <c r="Y6" s="12"/>
      <c r="Z6" s="12"/>
    </row>
    <row r="7" spans="1:26" x14ac:dyDescent="0.3">
      <c r="A7" s="1" t="s">
        <v>6</v>
      </c>
      <c r="B7" s="1" t="s">
        <v>7</v>
      </c>
      <c r="C7" s="2">
        <v>2972</v>
      </c>
      <c r="D7" s="2">
        <v>2774</v>
      </c>
      <c r="E7" s="2">
        <v>2678</v>
      </c>
      <c r="F7" s="2">
        <v>1796</v>
      </c>
      <c r="G7" s="2">
        <v>2215</v>
      </c>
      <c r="H7" s="2">
        <v>1794</v>
      </c>
      <c r="I7" s="2">
        <v>2327</v>
      </c>
      <c r="J7" s="2">
        <v>2585</v>
      </c>
      <c r="K7" s="2">
        <v>2820</v>
      </c>
      <c r="L7" s="2">
        <v>2393</v>
      </c>
      <c r="M7" s="2">
        <v>2628</v>
      </c>
      <c r="N7" s="2">
        <v>3708</v>
      </c>
      <c r="O7" s="1">
        <f t="shared" si="0"/>
        <v>30690</v>
      </c>
      <c r="P7" s="1" t="s">
        <v>43</v>
      </c>
      <c r="Q7" s="1" t="s">
        <v>10</v>
      </c>
      <c r="R7" s="1">
        <v>41</v>
      </c>
      <c r="S7" s="1">
        <v>54</v>
      </c>
      <c r="V7" s="12"/>
      <c r="W7" s="12"/>
      <c r="X7" s="12"/>
      <c r="Y7" s="12"/>
      <c r="Z7" s="12"/>
    </row>
    <row r="8" spans="1:26" x14ac:dyDescent="0.3">
      <c r="A8" s="1" t="s">
        <v>6</v>
      </c>
      <c r="B8" s="1" t="s">
        <v>8</v>
      </c>
      <c r="C8" s="2">
        <v>1123</v>
      </c>
      <c r="D8" s="2">
        <v>1184</v>
      </c>
      <c r="E8" s="2">
        <v>1116</v>
      </c>
      <c r="F8" s="1">
        <v>824</v>
      </c>
      <c r="G8" s="2">
        <v>1054</v>
      </c>
      <c r="H8" s="1">
        <v>859</v>
      </c>
      <c r="I8" s="1">
        <v>957</v>
      </c>
      <c r="J8" s="2">
        <v>1018</v>
      </c>
      <c r="K8" s="1">
        <v>895</v>
      </c>
      <c r="L8" s="2">
        <v>1004</v>
      </c>
      <c r="M8" s="1">
        <v>709</v>
      </c>
      <c r="N8" s="1">
        <v>783</v>
      </c>
      <c r="O8" s="1">
        <f t="shared" si="0"/>
        <v>11526</v>
      </c>
      <c r="P8" s="1" t="s">
        <v>9</v>
      </c>
      <c r="Q8" s="1" t="s">
        <v>10</v>
      </c>
      <c r="R8" s="1">
        <v>10</v>
      </c>
      <c r="S8" s="1">
        <v>-30</v>
      </c>
      <c r="V8" s="12"/>
      <c r="W8" s="12"/>
      <c r="X8" s="12"/>
      <c r="Y8" s="12"/>
      <c r="Z8" s="12"/>
    </row>
    <row r="9" spans="1:26" x14ac:dyDescent="0.3">
      <c r="A9" s="1" t="s">
        <v>6</v>
      </c>
      <c r="B9" s="1" t="s">
        <v>11</v>
      </c>
      <c r="C9" s="2">
        <v>4586</v>
      </c>
      <c r="D9" s="2">
        <v>3184</v>
      </c>
      <c r="E9" s="2">
        <v>3277</v>
      </c>
      <c r="F9" s="2">
        <v>1731</v>
      </c>
      <c r="G9" s="2">
        <v>1553</v>
      </c>
      <c r="H9" s="2">
        <v>2151</v>
      </c>
      <c r="I9" s="2">
        <v>1340</v>
      </c>
      <c r="J9" s="2">
        <v>1723</v>
      </c>
      <c r="K9" s="2">
        <v>1960</v>
      </c>
      <c r="L9" s="2">
        <v>2149</v>
      </c>
      <c r="M9" s="2">
        <v>1668</v>
      </c>
      <c r="N9" s="2">
        <v>2334</v>
      </c>
      <c r="O9" s="1">
        <f t="shared" si="0"/>
        <v>27656</v>
      </c>
      <c r="P9" s="1" t="s">
        <v>9</v>
      </c>
      <c r="Q9" s="1" t="s">
        <v>46</v>
      </c>
      <c r="R9" s="1">
        <v>40</v>
      </c>
      <c r="S9" s="1">
        <v>-47</v>
      </c>
      <c r="V9" s="12"/>
      <c r="W9" s="12"/>
      <c r="X9" s="12"/>
      <c r="Y9" s="12"/>
      <c r="Z9" s="12"/>
    </row>
    <row r="10" spans="1:26" x14ac:dyDescent="0.3">
      <c r="A10" s="1" t="s">
        <v>12</v>
      </c>
      <c r="B10" s="1" t="s">
        <v>49</v>
      </c>
      <c r="C10" s="2">
        <v>5516</v>
      </c>
      <c r="D10" s="2">
        <v>5053</v>
      </c>
      <c r="E10" s="2">
        <v>4883</v>
      </c>
      <c r="F10" s="2">
        <v>4526</v>
      </c>
      <c r="G10" s="2">
        <v>4433</v>
      </c>
      <c r="H10" s="2">
        <v>4299</v>
      </c>
      <c r="I10" s="2">
        <v>4757</v>
      </c>
      <c r="J10" s="2">
        <v>4304</v>
      </c>
      <c r="K10" s="2">
        <v>4462</v>
      </c>
      <c r="L10" s="2">
        <v>4805</v>
      </c>
      <c r="M10" s="2">
        <v>4248</v>
      </c>
      <c r="N10" s="2">
        <v>3852</v>
      </c>
      <c r="O10" s="1">
        <f t="shared" si="0"/>
        <v>55138</v>
      </c>
      <c r="P10" s="1" t="s">
        <v>43</v>
      </c>
      <c r="Q10" s="1" t="s">
        <v>10</v>
      </c>
      <c r="R10" s="1">
        <v>-9</v>
      </c>
      <c r="S10" s="1">
        <v>1</v>
      </c>
    </row>
    <row r="11" spans="1:26" x14ac:dyDescent="0.3">
      <c r="A11" s="1" t="s">
        <v>12</v>
      </c>
      <c r="B11" s="1" t="s">
        <v>13</v>
      </c>
      <c r="C11" s="2">
        <v>1827</v>
      </c>
      <c r="D11" s="2">
        <v>1290</v>
      </c>
      <c r="E11" s="2">
        <v>1420</v>
      </c>
      <c r="F11" s="2">
        <v>1219</v>
      </c>
      <c r="G11" s="1">
        <v>944</v>
      </c>
      <c r="H11" s="1">
        <v>882</v>
      </c>
      <c r="I11" s="1">
        <v>585</v>
      </c>
      <c r="J11" s="2">
        <v>1105</v>
      </c>
      <c r="K11" s="2">
        <v>2712</v>
      </c>
      <c r="L11" s="2">
        <v>2204</v>
      </c>
      <c r="M11" s="2">
        <v>2134</v>
      </c>
      <c r="N11" s="2">
        <v>1342</v>
      </c>
      <c r="O11" s="1">
        <f t="shared" si="0"/>
        <v>17664</v>
      </c>
      <c r="P11" s="1" t="s">
        <v>9</v>
      </c>
      <c r="Q11" s="1" t="s">
        <v>29</v>
      </c>
      <c r="R11" s="1">
        <v>-37</v>
      </c>
      <c r="S11" s="1">
        <v>41</v>
      </c>
    </row>
    <row r="12" spans="1:26" x14ac:dyDescent="0.3">
      <c r="A12" s="1" t="s">
        <v>12</v>
      </c>
      <c r="B12" s="1" t="s">
        <v>14</v>
      </c>
      <c r="C12" s="2">
        <v>13212</v>
      </c>
      <c r="D12" s="2">
        <v>15276</v>
      </c>
      <c r="E12" s="2">
        <v>16458</v>
      </c>
      <c r="F12" s="2">
        <v>15447</v>
      </c>
      <c r="G12" s="2">
        <v>14662</v>
      </c>
      <c r="H12" s="2">
        <v>16293</v>
      </c>
      <c r="I12" s="2">
        <v>17350</v>
      </c>
      <c r="J12" s="2">
        <v>16762</v>
      </c>
      <c r="K12" s="2">
        <v>15902</v>
      </c>
      <c r="L12" s="2">
        <v>17497</v>
      </c>
      <c r="M12" s="2">
        <v>15452</v>
      </c>
      <c r="N12" s="2">
        <v>12608</v>
      </c>
      <c r="O12" s="1">
        <f t="shared" si="0"/>
        <v>186919</v>
      </c>
      <c r="P12" s="1" t="s">
        <v>9</v>
      </c>
      <c r="Q12" s="1" t="s">
        <v>46</v>
      </c>
      <c r="R12" s="1">
        <v>-18</v>
      </c>
      <c r="S12" s="1">
        <v>36</v>
      </c>
    </row>
    <row r="13" spans="1:26" x14ac:dyDescent="0.3">
      <c r="A13" s="1" t="s">
        <v>12</v>
      </c>
      <c r="B13" s="1" t="s">
        <v>15</v>
      </c>
      <c r="C13" s="2">
        <v>8229</v>
      </c>
      <c r="D13" s="2">
        <v>7582</v>
      </c>
      <c r="E13" s="2">
        <v>8475</v>
      </c>
      <c r="F13" s="2">
        <v>7756</v>
      </c>
      <c r="G13" s="2">
        <v>7697</v>
      </c>
      <c r="H13" s="2">
        <v>6908</v>
      </c>
      <c r="I13" s="2">
        <v>6037</v>
      </c>
      <c r="J13" s="2">
        <v>6632</v>
      </c>
      <c r="K13" s="2">
        <v>6908</v>
      </c>
      <c r="L13" s="2">
        <v>7127</v>
      </c>
      <c r="M13" s="2">
        <v>5747</v>
      </c>
      <c r="N13" s="2">
        <v>5270</v>
      </c>
      <c r="O13" s="1">
        <f t="shared" si="0"/>
        <v>84368</v>
      </c>
      <c r="P13" s="1" t="s">
        <v>43</v>
      </c>
      <c r="Q13" s="1" t="s">
        <v>46</v>
      </c>
      <c r="R13" s="1">
        <v>-8</v>
      </c>
      <c r="S13" s="1">
        <v>-30</v>
      </c>
    </row>
    <row r="14" spans="1:26" x14ac:dyDescent="0.3">
      <c r="A14" s="1" t="s">
        <v>12</v>
      </c>
      <c r="B14" s="1" t="s">
        <v>124</v>
      </c>
      <c r="C14" s="2">
        <v>6865</v>
      </c>
      <c r="D14" s="2">
        <v>4947</v>
      </c>
      <c r="E14" s="2">
        <v>5034</v>
      </c>
      <c r="F14" s="2">
        <v>5117</v>
      </c>
      <c r="G14" s="2">
        <v>5328</v>
      </c>
      <c r="H14" s="2">
        <v>4948</v>
      </c>
      <c r="I14" s="2">
        <v>4922</v>
      </c>
      <c r="J14" s="2">
        <v>5365</v>
      </c>
      <c r="K14" s="2">
        <v>5103</v>
      </c>
      <c r="L14" s="2">
        <v>6235</v>
      </c>
      <c r="M14" s="2">
        <v>5667</v>
      </c>
      <c r="N14" s="2">
        <v>4489</v>
      </c>
      <c r="O14" s="1">
        <f t="shared" si="0"/>
        <v>64020</v>
      </c>
      <c r="P14" s="1" t="s">
        <v>17</v>
      </c>
      <c r="Q14" s="1" t="s">
        <v>47</v>
      </c>
      <c r="R14" s="1">
        <v>-21</v>
      </c>
      <c r="S14" s="1">
        <v>-14</v>
      </c>
    </row>
    <row r="15" spans="1:26" x14ac:dyDescent="0.3">
      <c r="A15" s="1" t="s">
        <v>12</v>
      </c>
      <c r="B15" s="1" t="s">
        <v>16</v>
      </c>
      <c r="C15" s="2">
        <v>7083</v>
      </c>
      <c r="D15" s="2">
        <v>5131</v>
      </c>
      <c r="E15" s="2">
        <v>5155</v>
      </c>
      <c r="F15" s="2">
        <v>5899</v>
      </c>
      <c r="G15" s="2">
        <v>5169</v>
      </c>
      <c r="H15" s="2">
        <v>5315</v>
      </c>
      <c r="I15" s="2">
        <v>4937</v>
      </c>
      <c r="J15" s="2">
        <v>4913</v>
      </c>
      <c r="K15" s="2">
        <v>4428</v>
      </c>
      <c r="L15" s="2">
        <v>5354</v>
      </c>
      <c r="M15" s="2">
        <v>3925</v>
      </c>
      <c r="N15" s="2">
        <v>3453</v>
      </c>
      <c r="O15" s="1">
        <f t="shared" si="0"/>
        <v>60762</v>
      </c>
      <c r="P15" s="1" t="s">
        <v>17</v>
      </c>
      <c r="Q15" s="1" t="s">
        <v>47</v>
      </c>
      <c r="R15" s="1">
        <v>-12</v>
      </c>
      <c r="S15" s="1">
        <v>-25</v>
      </c>
    </row>
    <row r="16" spans="1:26" x14ac:dyDescent="0.3">
      <c r="A16" s="1" t="s">
        <v>12</v>
      </c>
      <c r="B16" s="1" t="s">
        <v>42</v>
      </c>
      <c r="C16" s="2">
        <v>95</v>
      </c>
      <c r="D16" s="2">
        <v>66</v>
      </c>
      <c r="E16" s="2">
        <v>65</v>
      </c>
      <c r="F16" s="2">
        <v>45</v>
      </c>
      <c r="G16" s="2">
        <v>42</v>
      </c>
      <c r="H16" s="2">
        <v>30</v>
      </c>
      <c r="I16" s="1">
        <v>36</v>
      </c>
      <c r="J16" s="1">
        <v>40</v>
      </c>
      <c r="K16" s="1">
        <v>31</v>
      </c>
      <c r="L16" s="1">
        <v>32</v>
      </c>
      <c r="M16" s="1">
        <v>22</v>
      </c>
      <c r="N16" s="1">
        <v>24</v>
      </c>
      <c r="O16" s="1">
        <f t="shared" si="0"/>
        <v>528</v>
      </c>
      <c r="P16" s="1" t="s">
        <v>18</v>
      </c>
      <c r="Q16" s="1" t="s">
        <v>46</v>
      </c>
      <c r="R16" s="1">
        <v>9</v>
      </c>
      <c r="S16" s="1">
        <v>-70</v>
      </c>
    </row>
    <row r="17" spans="1:19" x14ac:dyDescent="0.3">
      <c r="A17" s="1" t="s">
        <v>12</v>
      </c>
      <c r="B17" s="1" t="s">
        <v>19</v>
      </c>
      <c r="C17" s="1">
        <v>102</v>
      </c>
      <c r="D17" s="1">
        <v>86</v>
      </c>
      <c r="E17" s="1">
        <v>71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1">
        <f t="shared" si="0"/>
        <v>259</v>
      </c>
      <c r="P17" s="1" t="s">
        <v>18</v>
      </c>
      <c r="Q17" s="1" t="s">
        <v>46</v>
      </c>
      <c r="R17" s="1">
        <v>0</v>
      </c>
      <c r="S17" s="1">
        <v>0</v>
      </c>
    </row>
    <row r="18" spans="1:19" x14ac:dyDescent="0.3">
      <c r="A18" s="1" t="s">
        <v>12</v>
      </c>
      <c r="B18" s="1" t="s">
        <v>20</v>
      </c>
      <c r="C18" s="1">
        <v>183</v>
      </c>
      <c r="D18" s="1">
        <v>157</v>
      </c>
      <c r="E18" s="1">
        <v>110</v>
      </c>
      <c r="F18" s="1">
        <v>201</v>
      </c>
      <c r="G18" s="1">
        <v>168</v>
      </c>
      <c r="H18" s="1">
        <v>114</v>
      </c>
      <c r="I18" s="1">
        <v>129</v>
      </c>
      <c r="J18" s="1">
        <v>125</v>
      </c>
      <c r="K18" s="1">
        <v>98</v>
      </c>
      <c r="L18" s="1">
        <v>141</v>
      </c>
      <c r="M18" s="1">
        <v>84</v>
      </c>
      <c r="N18" s="1">
        <v>33</v>
      </c>
      <c r="O18" s="1">
        <f t="shared" si="0"/>
        <v>1543</v>
      </c>
      <c r="P18" s="1" t="s">
        <v>44</v>
      </c>
      <c r="Q18" s="1" t="s">
        <v>46</v>
      </c>
      <c r="R18" s="1">
        <v>-61</v>
      </c>
      <c r="S18" s="1">
        <v>-84</v>
      </c>
    </row>
    <row r="19" spans="1:19" x14ac:dyDescent="0.3">
      <c r="A19" s="1" t="s">
        <v>12</v>
      </c>
      <c r="B19" s="1" t="s">
        <v>21</v>
      </c>
      <c r="C19" s="2">
        <v>11831</v>
      </c>
      <c r="D19" s="2">
        <v>8933</v>
      </c>
      <c r="E19" s="2">
        <v>9614</v>
      </c>
      <c r="F19" s="2">
        <v>9120</v>
      </c>
      <c r="G19" s="2">
        <v>9327</v>
      </c>
      <c r="H19" s="2">
        <v>9890</v>
      </c>
      <c r="I19" s="2">
        <v>8840</v>
      </c>
      <c r="J19" s="2">
        <v>9085</v>
      </c>
      <c r="K19" s="2">
        <v>10259</v>
      </c>
      <c r="L19" s="2">
        <v>10901</v>
      </c>
      <c r="M19" s="2">
        <v>9754</v>
      </c>
      <c r="N19" s="2">
        <v>10265</v>
      </c>
      <c r="O19" s="1">
        <f t="shared" si="0"/>
        <v>117819</v>
      </c>
      <c r="P19" s="1" t="s">
        <v>43</v>
      </c>
      <c r="Q19" s="1" t="s">
        <v>46</v>
      </c>
      <c r="R19" s="1">
        <v>5</v>
      </c>
      <c r="S19" s="1">
        <v>-1</v>
      </c>
    </row>
    <row r="20" spans="1:19" x14ac:dyDescent="0.3">
      <c r="A20" s="1" t="s">
        <v>12</v>
      </c>
      <c r="B20" s="1" t="s">
        <v>22</v>
      </c>
      <c r="C20" s="2">
        <v>2172</v>
      </c>
      <c r="D20" s="2">
        <v>1680</v>
      </c>
      <c r="E20" s="2">
        <v>1716</v>
      </c>
      <c r="F20" s="2">
        <v>1571</v>
      </c>
      <c r="G20" s="2">
        <v>1381</v>
      </c>
      <c r="H20" s="2">
        <v>1424</v>
      </c>
      <c r="I20" s="2">
        <v>1420</v>
      </c>
      <c r="J20" s="2">
        <v>1194</v>
      </c>
      <c r="K20" s="2">
        <v>1198</v>
      </c>
      <c r="L20" s="2">
        <v>1272</v>
      </c>
      <c r="M20" s="2">
        <v>1213</v>
      </c>
      <c r="N20" s="1">
        <v>872</v>
      </c>
      <c r="O20" s="1">
        <f t="shared" si="0"/>
        <v>17113</v>
      </c>
      <c r="P20" s="1" t="s">
        <v>9</v>
      </c>
      <c r="Q20" s="1" t="s">
        <v>10</v>
      </c>
      <c r="R20" s="1">
        <v>-28</v>
      </c>
      <c r="S20" s="1">
        <v>22</v>
      </c>
    </row>
    <row r="21" spans="1:19" x14ac:dyDescent="0.3">
      <c r="A21" s="1" t="s">
        <v>23</v>
      </c>
      <c r="B21" s="1" t="s">
        <v>24</v>
      </c>
      <c r="C21" s="1">
        <v>286</v>
      </c>
      <c r="D21" s="1">
        <v>204</v>
      </c>
      <c r="E21" s="1">
        <v>329</v>
      </c>
      <c r="F21" s="1">
        <v>282</v>
      </c>
      <c r="G21" s="1">
        <v>269</v>
      </c>
      <c r="H21" s="1">
        <v>216</v>
      </c>
      <c r="I21" s="1">
        <v>213</v>
      </c>
      <c r="J21" s="1">
        <v>280</v>
      </c>
      <c r="K21" s="1">
        <v>310</v>
      </c>
      <c r="L21" s="1">
        <v>236</v>
      </c>
      <c r="M21" s="1">
        <v>188</v>
      </c>
      <c r="N21" s="1">
        <v>175</v>
      </c>
      <c r="O21" s="1">
        <f t="shared" si="0"/>
        <v>2988</v>
      </c>
      <c r="P21" s="1" t="s">
        <v>45</v>
      </c>
      <c r="Q21" s="1" t="s">
        <v>46</v>
      </c>
      <c r="R21" s="1">
        <v>-7</v>
      </c>
      <c r="S21" s="1">
        <v>-29</v>
      </c>
    </row>
    <row r="22" spans="1:19" x14ac:dyDescent="0.3">
      <c r="A22" s="1" t="s">
        <v>23</v>
      </c>
      <c r="B22" s="1" t="s">
        <v>25</v>
      </c>
      <c r="C22" s="1">
        <v>110</v>
      </c>
      <c r="D22" s="1">
        <v>127</v>
      </c>
      <c r="E22" s="1">
        <v>96</v>
      </c>
      <c r="F22" s="1">
        <v>95</v>
      </c>
      <c r="G22" s="1">
        <v>75</v>
      </c>
      <c r="H22" s="1">
        <v>65</v>
      </c>
      <c r="I22" s="1">
        <v>63</v>
      </c>
      <c r="J22" s="1">
        <v>60</v>
      </c>
      <c r="K22" s="1">
        <v>55</v>
      </c>
      <c r="L22" s="1">
        <v>188</v>
      </c>
      <c r="M22" s="1">
        <v>173</v>
      </c>
      <c r="N22" s="1">
        <v>111</v>
      </c>
      <c r="O22" s="1">
        <f t="shared" si="0"/>
        <v>1218</v>
      </c>
      <c r="P22" s="3" t="s">
        <v>44</v>
      </c>
      <c r="Q22" s="1" t="s">
        <v>46</v>
      </c>
      <c r="R22" s="1">
        <v>-36</v>
      </c>
      <c r="S22" s="1">
        <v>-42</v>
      </c>
    </row>
    <row r="23" spans="1:19" x14ac:dyDescent="0.3">
      <c r="A23" s="1" t="s">
        <v>23</v>
      </c>
      <c r="B23" s="1" t="s">
        <v>33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f t="shared" si="0"/>
        <v>0</v>
      </c>
      <c r="P23" s="1" t="s">
        <v>18</v>
      </c>
      <c r="Q23" s="1" t="s">
        <v>46</v>
      </c>
      <c r="R23" s="1">
        <v>0</v>
      </c>
      <c r="S23" s="1">
        <v>0</v>
      </c>
    </row>
    <row r="24" spans="1:19" x14ac:dyDescent="0.3">
      <c r="A24" s="1" t="s">
        <v>26</v>
      </c>
      <c r="B24" s="1" t="s">
        <v>27</v>
      </c>
      <c r="C24" s="2">
        <v>5848</v>
      </c>
      <c r="D24" s="2">
        <v>4832</v>
      </c>
      <c r="E24" s="2">
        <v>4737</v>
      </c>
      <c r="F24" s="2">
        <v>5328</v>
      </c>
      <c r="G24" s="2">
        <v>5316</v>
      </c>
      <c r="H24" s="2">
        <v>5154</v>
      </c>
      <c r="I24" s="2">
        <v>5679</v>
      </c>
      <c r="J24" s="2">
        <v>5881</v>
      </c>
      <c r="K24" s="2">
        <v>6217</v>
      </c>
      <c r="L24" s="2">
        <v>6384</v>
      </c>
      <c r="M24" s="2">
        <v>5672</v>
      </c>
      <c r="N24" s="2">
        <v>2626</v>
      </c>
      <c r="O24" s="1">
        <f t="shared" si="0"/>
        <v>63674</v>
      </c>
      <c r="P24" s="1" t="s">
        <v>50</v>
      </c>
      <c r="Q24" s="1" t="s">
        <v>29</v>
      </c>
      <c r="R24" s="1">
        <v>-54</v>
      </c>
      <c r="S24" s="1">
        <v>2</v>
      </c>
    </row>
    <row r="25" spans="1:19" x14ac:dyDescent="0.3">
      <c r="A25" s="1" t="s">
        <v>26</v>
      </c>
      <c r="B25" s="1" t="s">
        <v>28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1">
        <v>0</v>
      </c>
      <c r="J25" s="1">
        <v>0</v>
      </c>
      <c r="K25" s="1">
        <v>0</v>
      </c>
      <c r="L25" s="1">
        <v>255</v>
      </c>
      <c r="M25" s="1">
        <v>241</v>
      </c>
      <c r="N25" s="1">
        <v>103</v>
      </c>
      <c r="O25" s="1">
        <f t="shared" si="0"/>
        <v>599</v>
      </c>
      <c r="P25" s="1" t="s">
        <v>44</v>
      </c>
      <c r="Q25" s="1" t="s">
        <v>29</v>
      </c>
      <c r="R25" s="1">
        <v>-57</v>
      </c>
      <c r="S25" s="1">
        <v>0</v>
      </c>
    </row>
    <row r="26" spans="1:19" x14ac:dyDescent="0.3">
      <c r="A26" s="1" t="s">
        <v>26</v>
      </c>
      <c r="B26" s="1" t="s">
        <v>30</v>
      </c>
      <c r="C26" s="2">
        <v>0</v>
      </c>
      <c r="D26" s="2">
        <v>1</v>
      </c>
      <c r="E26" s="2">
        <v>1</v>
      </c>
      <c r="F26" s="1">
        <v>5</v>
      </c>
      <c r="G26" s="1">
        <v>15</v>
      </c>
      <c r="H26" s="1">
        <v>24</v>
      </c>
      <c r="I26" s="1">
        <v>22</v>
      </c>
      <c r="J26" s="1">
        <v>33</v>
      </c>
      <c r="K26" s="1">
        <v>12</v>
      </c>
      <c r="L26" s="1">
        <v>50</v>
      </c>
      <c r="M26" s="1">
        <v>68</v>
      </c>
      <c r="N26" s="1">
        <v>61</v>
      </c>
      <c r="O26" s="1">
        <f t="shared" si="0"/>
        <v>292</v>
      </c>
      <c r="P26" s="1" t="s">
        <v>18</v>
      </c>
      <c r="Q26" s="1" t="s">
        <v>46</v>
      </c>
      <c r="R26" s="1">
        <v>-10</v>
      </c>
      <c r="S26" s="1">
        <v>917</v>
      </c>
    </row>
    <row r="27" spans="1:19" x14ac:dyDescent="0.3">
      <c r="A27" s="1" t="s">
        <v>26</v>
      </c>
      <c r="B27" s="1" t="s">
        <v>31</v>
      </c>
      <c r="C27" s="2">
        <v>6391</v>
      </c>
      <c r="D27" s="2">
        <v>6265</v>
      </c>
      <c r="E27" s="2">
        <v>7912</v>
      </c>
      <c r="F27" s="2">
        <v>6734</v>
      </c>
      <c r="G27" s="2">
        <v>6736</v>
      </c>
      <c r="H27" s="2">
        <v>6306</v>
      </c>
      <c r="I27" s="2">
        <v>5347</v>
      </c>
      <c r="J27" s="2">
        <v>6536</v>
      </c>
      <c r="K27" s="2">
        <v>6959</v>
      </c>
      <c r="L27" s="2">
        <v>6365</v>
      </c>
      <c r="M27" s="2">
        <v>5364</v>
      </c>
      <c r="N27" s="2">
        <v>2830</v>
      </c>
      <c r="O27" s="1">
        <f t="shared" si="0"/>
        <v>73745</v>
      </c>
      <c r="P27" s="1" t="s">
        <v>9</v>
      </c>
      <c r="Q27" s="1" t="s">
        <v>46</v>
      </c>
      <c r="R27" s="1">
        <v>-47</v>
      </c>
      <c r="S27" s="1">
        <v>-72</v>
      </c>
    </row>
    <row r="28" spans="1:19" x14ac:dyDescent="0.3">
      <c r="A28" s="1" t="s">
        <v>26</v>
      </c>
      <c r="B28" s="1" t="s">
        <v>32</v>
      </c>
      <c r="C28" s="2">
        <v>11530</v>
      </c>
      <c r="D28" s="2">
        <v>9102</v>
      </c>
      <c r="E28" s="2">
        <v>8750</v>
      </c>
      <c r="F28" s="2">
        <v>7901</v>
      </c>
      <c r="G28" s="2">
        <v>7433</v>
      </c>
      <c r="H28" s="2">
        <v>9816</v>
      </c>
      <c r="I28" s="2">
        <v>9459</v>
      </c>
      <c r="J28" s="2">
        <v>10073</v>
      </c>
      <c r="K28" s="2">
        <v>10335</v>
      </c>
      <c r="L28" s="2">
        <v>9699</v>
      </c>
      <c r="M28" s="2">
        <v>9255</v>
      </c>
      <c r="N28" s="2">
        <v>3337</v>
      </c>
      <c r="O28" s="1">
        <f t="shared" si="0"/>
        <v>106690</v>
      </c>
      <c r="P28" s="1" t="s">
        <v>43</v>
      </c>
      <c r="Q28" s="1" t="s">
        <v>46</v>
      </c>
      <c r="R28" s="1">
        <v>-64</v>
      </c>
      <c r="S28" s="1">
        <v>33270</v>
      </c>
    </row>
    <row r="29" spans="1:19" x14ac:dyDescent="0.3">
      <c r="A29" s="1" t="s">
        <v>51</v>
      </c>
      <c r="B29" s="1" t="s">
        <v>52</v>
      </c>
      <c r="C29" s="2">
        <v>9964</v>
      </c>
      <c r="D29" s="2">
        <v>10113</v>
      </c>
      <c r="E29" s="2">
        <v>10347</v>
      </c>
      <c r="F29" s="2">
        <v>9537</v>
      </c>
      <c r="G29" s="2">
        <v>8026</v>
      </c>
      <c r="H29" s="2">
        <v>7365</v>
      </c>
      <c r="I29" s="2">
        <v>6930</v>
      </c>
      <c r="J29" s="2">
        <v>6494</v>
      </c>
      <c r="K29" s="2">
        <v>8180</v>
      </c>
      <c r="L29" s="2">
        <v>9849</v>
      </c>
      <c r="M29" s="2">
        <v>7045</v>
      </c>
      <c r="N29" s="2">
        <v>5921</v>
      </c>
      <c r="O29" s="1">
        <f t="shared" si="0"/>
        <v>99771</v>
      </c>
      <c r="P29" s="1" t="s">
        <v>50</v>
      </c>
      <c r="Q29" s="1" t="s">
        <v>29</v>
      </c>
      <c r="R29" s="1">
        <v>-16</v>
      </c>
      <c r="S29" s="1">
        <v>-26</v>
      </c>
    </row>
    <row r="30" spans="1:19" x14ac:dyDescent="0.3">
      <c r="A30" s="1" t="s">
        <v>51</v>
      </c>
      <c r="B30" s="1" t="s">
        <v>53</v>
      </c>
      <c r="C30" s="1">
        <v>32</v>
      </c>
      <c r="D30" s="1">
        <v>51</v>
      </c>
      <c r="E30" s="1">
        <v>51</v>
      </c>
      <c r="F30" s="1">
        <v>20</v>
      </c>
      <c r="G30" s="1">
        <v>16</v>
      </c>
      <c r="H30" s="1">
        <v>12</v>
      </c>
      <c r="I30" s="1">
        <v>14</v>
      </c>
      <c r="J30" s="1">
        <v>8</v>
      </c>
      <c r="K30" s="1">
        <v>7</v>
      </c>
      <c r="L30" s="1">
        <v>37</v>
      </c>
      <c r="M30" s="1">
        <v>9</v>
      </c>
      <c r="N30" s="1">
        <v>16</v>
      </c>
      <c r="O30" s="1">
        <f t="shared" si="0"/>
        <v>273</v>
      </c>
      <c r="P30" s="1" t="s">
        <v>50</v>
      </c>
      <c r="Q30" s="1" t="s">
        <v>29</v>
      </c>
      <c r="R30" s="1">
        <v>78</v>
      </c>
      <c r="S30" s="1">
        <v>-74</v>
      </c>
    </row>
    <row r="31" spans="1:19" x14ac:dyDescent="0.3">
      <c r="A31" s="1" t="s">
        <v>51</v>
      </c>
      <c r="B31" s="1" t="s">
        <v>54</v>
      </c>
      <c r="C31" s="2">
        <v>14293</v>
      </c>
      <c r="D31" s="2">
        <v>15051</v>
      </c>
      <c r="E31" s="2">
        <v>15151</v>
      </c>
      <c r="F31" s="2">
        <v>14807</v>
      </c>
      <c r="G31" s="2">
        <v>13717</v>
      </c>
      <c r="H31" s="2">
        <v>12307</v>
      </c>
      <c r="I31" s="2">
        <v>12237</v>
      </c>
      <c r="J31" s="2">
        <v>13787</v>
      </c>
      <c r="K31" s="2">
        <v>14438</v>
      </c>
      <c r="L31" s="2">
        <v>15677</v>
      </c>
      <c r="M31" s="2">
        <v>12704</v>
      </c>
      <c r="N31" s="2">
        <v>12195</v>
      </c>
      <c r="O31" s="1">
        <f t="shared" si="0"/>
        <v>166364</v>
      </c>
      <c r="P31" s="1" t="s">
        <v>9</v>
      </c>
      <c r="Q31" s="1" t="s">
        <v>46</v>
      </c>
      <c r="R31" s="1">
        <v>-4</v>
      </c>
      <c r="S31" s="1">
        <v>7</v>
      </c>
    </row>
    <row r="32" spans="1:19" x14ac:dyDescent="0.3">
      <c r="A32" s="1" t="s">
        <v>51</v>
      </c>
      <c r="B32" s="1" t="s">
        <v>55</v>
      </c>
      <c r="C32" s="2">
        <v>6059</v>
      </c>
      <c r="D32" s="2">
        <v>5812</v>
      </c>
      <c r="E32" s="2">
        <v>6049</v>
      </c>
      <c r="F32" s="2">
        <v>6160</v>
      </c>
      <c r="G32" s="2">
        <v>5750</v>
      </c>
      <c r="H32" s="2">
        <v>5376</v>
      </c>
      <c r="I32" s="2">
        <v>4385</v>
      </c>
      <c r="J32" s="2">
        <v>4268</v>
      </c>
      <c r="K32" s="2">
        <v>8843</v>
      </c>
      <c r="L32" s="2">
        <v>7944</v>
      </c>
      <c r="M32" s="2">
        <v>8708</v>
      </c>
      <c r="N32" s="2">
        <v>7659</v>
      </c>
      <c r="O32" s="1">
        <f t="shared" si="0"/>
        <v>77013</v>
      </c>
      <c r="P32" s="1" t="s">
        <v>50</v>
      </c>
      <c r="Q32" s="1" t="s">
        <v>46</v>
      </c>
      <c r="R32" s="1">
        <v>-12</v>
      </c>
      <c r="S32" s="1">
        <v>32</v>
      </c>
    </row>
    <row r="33" spans="1:19" x14ac:dyDescent="0.3">
      <c r="A33" s="1" t="s">
        <v>51</v>
      </c>
      <c r="B33" s="1" t="s">
        <v>56</v>
      </c>
      <c r="C33" s="2">
        <v>4817</v>
      </c>
      <c r="D33" s="2">
        <v>4218</v>
      </c>
      <c r="E33" s="1">
        <v>2072</v>
      </c>
      <c r="F33" s="2">
        <v>4003</v>
      </c>
      <c r="G33" s="2">
        <v>10000</v>
      </c>
      <c r="H33" s="2">
        <v>8500</v>
      </c>
      <c r="I33" s="2">
        <v>10000</v>
      </c>
      <c r="J33" s="2">
        <v>9000</v>
      </c>
      <c r="K33" s="2">
        <v>9000</v>
      </c>
      <c r="L33" s="2">
        <v>9562</v>
      </c>
      <c r="M33" s="2">
        <v>7656</v>
      </c>
      <c r="N33" s="2">
        <v>7000</v>
      </c>
      <c r="O33" s="1">
        <f t="shared" si="0"/>
        <v>85828</v>
      </c>
      <c r="P33" s="1" t="s">
        <v>43</v>
      </c>
      <c r="Q33" s="1" t="s">
        <v>46</v>
      </c>
      <c r="R33" s="1">
        <v>-9</v>
      </c>
      <c r="S33" s="1">
        <v>97</v>
      </c>
    </row>
    <row r="34" spans="1:19" x14ac:dyDescent="0.3">
      <c r="A34" s="1" t="s">
        <v>51</v>
      </c>
      <c r="B34" s="1" t="s">
        <v>57</v>
      </c>
      <c r="C34" s="1">
        <v>697</v>
      </c>
      <c r="D34" s="1">
        <v>610</v>
      </c>
      <c r="E34" s="1">
        <v>350</v>
      </c>
      <c r="F34" s="1">
        <v>347</v>
      </c>
      <c r="G34" s="1">
        <v>701</v>
      </c>
      <c r="H34" s="1">
        <v>534</v>
      </c>
      <c r="I34" s="1">
        <v>288</v>
      </c>
      <c r="J34" s="1">
        <v>713</v>
      </c>
      <c r="K34" s="1">
        <v>948</v>
      </c>
      <c r="L34" s="2">
        <v>1000</v>
      </c>
      <c r="M34" s="2">
        <v>1000</v>
      </c>
      <c r="N34" s="2">
        <v>1296</v>
      </c>
      <c r="O34" s="1">
        <f t="shared" si="0"/>
        <v>8484</v>
      </c>
      <c r="P34" s="1" t="s">
        <v>9</v>
      </c>
      <c r="Q34" s="1" t="s">
        <v>46</v>
      </c>
      <c r="R34" s="1">
        <v>30</v>
      </c>
      <c r="S34" s="1">
        <v>142</v>
      </c>
    </row>
    <row r="35" spans="1:19" x14ac:dyDescent="0.3">
      <c r="A35" s="1" t="s">
        <v>51</v>
      </c>
      <c r="B35" s="1" t="s">
        <v>58</v>
      </c>
      <c r="C35" s="2">
        <v>7206</v>
      </c>
      <c r="D35" s="2">
        <v>6546</v>
      </c>
      <c r="E35" s="2">
        <v>6611</v>
      </c>
      <c r="F35" s="2">
        <v>6134</v>
      </c>
      <c r="G35" s="2">
        <v>5008</v>
      </c>
      <c r="H35" s="2">
        <v>5928</v>
      </c>
      <c r="I35" s="2">
        <v>7769</v>
      </c>
      <c r="J35" s="2">
        <v>9007</v>
      </c>
      <c r="K35" s="2">
        <v>9646</v>
      </c>
      <c r="L35" s="2">
        <v>10435</v>
      </c>
      <c r="M35" s="2">
        <v>9100</v>
      </c>
      <c r="N35" s="2">
        <v>7337</v>
      </c>
      <c r="O35" s="1">
        <f t="shared" si="0"/>
        <v>90727</v>
      </c>
      <c r="P35" s="1" t="s">
        <v>45</v>
      </c>
      <c r="Q35" s="1" t="s">
        <v>46</v>
      </c>
      <c r="R35" s="1">
        <v>-19</v>
      </c>
      <c r="S35" s="1">
        <v>25</v>
      </c>
    </row>
    <row r="36" spans="1:19" x14ac:dyDescent="0.3">
      <c r="A36" s="1" t="s">
        <v>59</v>
      </c>
      <c r="B36" s="1" t="s">
        <v>60</v>
      </c>
      <c r="C36" s="2">
        <v>12395</v>
      </c>
      <c r="D36" s="2">
        <v>11723</v>
      </c>
      <c r="E36" s="2">
        <v>9332</v>
      </c>
      <c r="F36" s="2">
        <v>9043</v>
      </c>
      <c r="G36" s="2">
        <v>7675</v>
      </c>
      <c r="H36" s="2">
        <v>7775</v>
      </c>
      <c r="I36" s="2">
        <v>7353</v>
      </c>
      <c r="J36" s="2">
        <v>8546</v>
      </c>
      <c r="K36" s="2">
        <v>8655</v>
      </c>
      <c r="L36" s="2">
        <v>8548</v>
      </c>
      <c r="M36" s="2">
        <v>7467</v>
      </c>
      <c r="N36" s="2">
        <v>7410</v>
      </c>
      <c r="O36" s="1">
        <f t="shared" si="0"/>
        <v>105922</v>
      </c>
      <c r="P36" s="1" t="s">
        <v>61</v>
      </c>
      <c r="Q36" s="1" t="s">
        <v>47</v>
      </c>
      <c r="R36" s="1">
        <v>-1</v>
      </c>
      <c r="S36" s="1">
        <v>197</v>
      </c>
    </row>
    <row r="37" spans="1:19" x14ac:dyDescent="0.3">
      <c r="A37" s="1" t="s">
        <v>59</v>
      </c>
      <c r="B37" s="1" t="s">
        <v>62</v>
      </c>
      <c r="C37" s="2">
        <v>19630</v>
      </c>
      <c r="D37" s="2">
        <v>17517</v>
      </c>
      <c r="E37" s="2">
        <v>15588</v>
      </c>
      <c r="F37" s="2">
        <v>14049</v>
      </c>
      <c r="G37" s="2">
        <v>12842</v>
      </c>
      <c r="H37" s="2">
        <v>14895</v>
      </c>
      <c r="I37" s="2">
        <v>9309</v>
      </c>
      <c r="J37" s="2">
        <v>12485</v>
      </c>
      <c r="K37" s="2">
        <v>14292</v>
      </c>
      <c r="L37" s="2">
        <v>16082</v>
      </c>
      <c r="M37" s="2">
        <v>16293</v>
      </c>
      <c r="N37" s="2">
        <v>9112</v>
      </c>
      <c r="O37" s="1">
        <f t="shared" si="0"/>
        <v>172094</v>
      </c>
      <c r="P37" s="1" t="s">
        <v>17</v>
      </c>
      <c r="Q37" s="1" t="s">
        <v>47</v>
      </c>
      <c r="R37" s="1">
        <v>-44</v>
      </c>
      <c r="S37" s="1">
        <v>-15</v>
      </c>
    </row>
    <row r="38" spans="1:19" x14ac:dyDescent="0.3">
      <c r="A38" s="1" t="s">
        <v>59</v>
      </c>
      <c r="B38" s="1" t="s">
        <v>63</v>
      </c>
      <c r="C38" s="2">
        <v>15303</v>
      </c>
      <c r="D38" s="2">
        <v>15765</v>
      </c>
      <c r="E38" s="2">
        <v>14614</v>
      </c>
      <c r="F38" s="2">
        <v>17113</v>
      </c>
      <c r="G38" s="2">
        <v>14186</v>
      </c>
      <c r="H38" s="2">
        <v>13172</v>
      </c>
      <c r="I38" s="2">
        <v>14676</v>
      </c>
      <c r="J38" s="2">
        <v>19190</v>
      </c>
      <c r="K38" s="2">
        <v>15322</v>
      </c>
      <c r="L38" s="2">
        <v>16565</v>
      </c>
      <c r="M38" s="2">
        <v>14918</v>
      </c>
      <c r="N38" s="2">
        <v>17336</v>
      </c>
      <c r="O38" s="1">
        <f t="shared" si="0"/>
        <v>188160</v>
      </c>
      <c r="P38" s="1" t="s">
        <v>43</v>
      </c>
      <c r="Q38" s="1" t="s">
        <v>46</v>
      </c>
      <c r="R38" s="1">
        <v>16</v>
      </c>
      <c r="S38" s="1">
        <v>35</v>
      </c>
    </row>
    <row r="39" spans="1:19" x14ac:dyDescent="0.3">
      <c r="A39" s="1" t="s">
        <v>59</v>
      </c>
      <c r="B39" s="1" t="s">
        <v>64</v>
      </c>
      <c r="C39" s="2">
        <v>4406</v>
      </c>
      <c r="D39" s="2">
        <v>3586</v>
      </c>
      <c r="E39" s="2">
        <v>3478</v>
      </c>
      <c r="F39" s="2">
        <v>3220</v>
      </c>
      <c r="G39" s="2">
        <v>3314</v>
      </c>
      <c r="H39" s="2">
        <v>2985</v>
      </c>
      <c r="I39" s="2">
        <v>2465</v>
      </c>
      <c r="J39" s="2">
        <v>3181</v>
      </c>
      <c r="K39" s="2">
        <v>3241</v>
      </c>
      <c r="L39" s="2">
        <v>3044</v>
      </c>
      <c r="M39" s="2">
        <v>2379</v>
      </c>
      <c r="N39" s="1">
        <v>748</v>
      </c>
      <c r="O39" s="1">
        <f t="shared" si="0"/>
        <v>36047</v>
      </c>
      <c r="P39" s="1" t="s">
        <v>65</v>
      </c>
      <c r="Q39" s="1" t="s">
        <v>47</v>
      </c>
      <c r="R39" s="1">
        <v>-69</v>
      </c>
      <c r="S39" s="1">
        <v>203</v>
      </c>
    </row>
    <row r="40" spans="1:19" x14ac:dyDescent="0.3">
      <c r="A40" s="1" t="s">
        <v>59</v>
      </c>
      <c r="B40" s="1" t="s">
        <v>66</v>
      </c>
      <c r="C40" s="1">
        <v>363</v>
      </c>
      <c r="D40" s="1">
        <v>481</v>
      </c>
      <c r="E40" s="1">
        <v>590</v>
      </c>
      <c r="F40" s="1">
        <v>867</v>
      </c>
      <c r="G40" s="1">
        <v>730</v>
      </c>
      <c r="H40" s="1">
        <v>572</v>
      </c>
      <c r="I40" s="1">
        <v>603</v>
      </c>
      <c r="J40" s="1">
        <v>707</v>
      </c>
      <c r="K40" s="1">
        <v>662</v>
      </c>
      <c r="L40" s="1">
        <v>659</v>
      </c>
      <c r="M40" s="1">
        <v>597</v>
      </c>
      <c r="N40" s="1">
        <v>464</v>
      </c>
      <c r="O40" s="1">
        <f t="shared" si="0"/>
        <v>7295</v>
      </c>
      <c r="P40" s="1" t="s">
        <v>9</v>
      </c>
      <c r="Q40" s="1" t="s">
        <v>10</v>
      </c>
      <c r="R40" s="1">
        <v>-22</v>
      </c>
      <c r="S40" s="1">
        <v>-5</v>
      </c>
    </row>
    <row r="41" spans="1:19" x14ac:dyDescent="0.3">
      <c r="A41" s="1" t="s">
        <v>59</v>
      </c>
      <c r="B41" s="1" t="s">
        <v>132</v>
      </c>
      <c r="C41" s="2">
        <v>16773</v>
      </c>
      <c r="D41" s="2">
        <v>15837</v>
      </c>
      <c r="E41" s="2">
        <v>15894</v>
      </c>
      <c r="F41" s="2">
        <v>15825</v>
      </c>
      <c r="G41" s="2">
        <v>16061</v>
      </c>
      <c r="H41" s="2">
        <v>13421</v>
      </c>
      <c r="I41" s="2">
        <v>11647</v>
      </c>
      <c r="J41" s="2">
        <v>10627</v>
      </c>
      <c r="K41" s="2">
        <v>10853</v>
      </c>
      <c r="L41" s="2">
        <v>12698</v>
      </c>
      <c r="M41" s="2">
        <v>11779</v>
      </c>
      <c r="N41" s="2">
        <v>16573</v>
      </c>
      <c r="O41" s="1">
        <f t="shared" si="0"/>
        <v>167988</v>
      </c>
      <c r="P41" s="1" t="s">
        <v>43</v>
      </c>
      <c r="Q41" s="1" t="s">
        <v>10</v>
      </c>
      <c r="R41" s="1">
        <v>41</v>
      </c>
      <c r="S41" s="1">
        <v>18</v>
      </c>
    </row>
    <row r="42" spans="1:19" x14ac:dyDescent="0.3">
      <c r="A42" s="1" t="s">
        <v>59</v>
      </c>
      <c r="B42" s="1" t="s">
        <v>67</v>
      </c>
      <c r="C42" s="2">
        <v>12019</v>
      </c>
      <c r="D42" s="2">
        <v>12147</v>
      </c>
      <c r="E42" s="2">
        <v>12019</v>
      </c>
      <c r="F42" s="2">
        <v>12060</v>
      </c>
      <c r="G42" s="2">
        <v>10960</v>
      </c>
      <c r="H42" s="2">
        <v>10771</v>
      </c>
      <c r="I42" s="2">
        <v>11916</v>
      </c>
      <c r="J42" s="2">
        <v>10985</v>
      </c>
      <c r="K42" s="2">
        <v>11908</v>
      </c>
      <c r="L42" s="2">
        <v>11653</v>
      </c>
      <c r="M42" s="2">
        <v>10589</v>
      </c>
      <c r="N42" s="2">
        <v>11678</v>
      </c>
      <c r="O42" s="1">
        <f t="shared" si="0"/>
        <v>138705</v>
      </c>
      <c r="P42" s="1" t="s">
        <v>50</v>
      </c>
      <c r="Q42" s="1" t="s">
        <v>29</v>
      </c>
      <c r="R42" s="1">
        <v>10</v>
      </c>
      <c r="S42" s="1">
        <v>16</v>
      </c>
    </row>
    <row r="43" spans="1:19" x14ac:dyDescent="0.3">
      <c r="A43" s="1" t="s">
        <v>59</v>
      </c>
      <c r="B43" s="1" t="s">
        <v>68</v>
      </c>
      <c r="C43" s="2">
        <v>14632</v>
      </c>
      <c r="D43" s="2">
        <v>15519</v>
      </c>
      <c r="E43" s="2">
        <v>14888</v>
      </c>
      <c r="F43" s="2">
        <v>13544</v>
      </c>
      <c r="G43" s="2">
        <v>13893</v>
      </c>
      <c r="H43" s="2">
        <v>15902</v>
      </c>
      <c r="I43" s="2">
        <v>15701</v>
      </c>
      <c r="J43" s="2">
        <v>18580</v>
      </c>
      <c r="K43" s="2">
        <v>17441</v>
      </c>
      <c r="L43" s="2">
        <v>18785</v>
      </c>
      <c r="M43" s="2">
        <v>15150</v>
      </c>
      <c r="N43" s="2">
        <v>16056</v>
      </c>
      <c r="O43" s="1">
        <f t="shared" si="0"/>
        <v>190091</v>
      </c>
      <c r="P43" s="1" t="s">
        <v>50</v>
      </c>
      <c r="Q43" s="1" t="s">
        <v>29</v>
      </c>
      <c r="R43" s="1">
        <v>6</v>
      </c>
      <c r="S43" s="1">
        <v>24</v>
      </c>
    </row>
    <row r="44" spans="1:19" x14ac:dyDescent="0.3">
      <c r="A44" s="1" t="s">
        <v>59</v>
      </c>
      <c r="B44" s="1" t="s">
        <v>69</v>
      </c>
      <c r="C44" s="2">
        <v>13643</v>
      </c>
      <c r="D44" s="2">
        <v>14168</v>
      </c>
      <c r="E44" s="2">
        <v>12531</v>
      </c>
      <c r="F44" s="2">
        <v>14286</v>
      </c>
      <c r="G44" s="2">
        <v>12681</v>
      </c>
      <c r="H44" s="2">
        <v>9688</v>
      </c>
      <c r="I44" s="2">
        <v>10925</v>
      </c>
      <c r="J44" s="2">
        <v>12387</v>
      </c>
      <c r="K44" s="2">
        <v>13874</v>
      </c>
      <c r="L44" s="2">
        <v>16419</v>
      </c>
      <c r="M44" s="2">
        <v>14882</v>
      </c>
      <c r="N44" s="2">
        <v>10752</v>
      </c>
      <c r="O44" s="1">
        <f t="shared" si="0"/>
        <v>156236</v>
      </c>
      <c r="P44" s="1" t="s">
        <v>43</v>
      </c>
      <c r="Q44" s="1" t="s">
        <v>46</v>
      </c>
      <c r="R44" s="1">
        <v>-28</v>
      </c>
      <c r="S44" s="1">
        <v>11</v>
      </c>
    </row>
    <row r="45" spans="1:19" x14ac:dyDescent="0.3">
      <c r="A45" s="1" t="s">
        <v>59</v>
      </c>
      <c r="B45" s="1" t="s">
        <v>70</v>
      </c>
      <c r="C45" s="2">
        <v>13438</v>
      </c>
      <c r="D45" s="2">
        <v>11002</v>
      </c>
      <c r="E45" s="2">
        <v>11232</v>
      </c>
      <c r="F45" s="2">
        <v>7651</v>
      </c>
      <c r="G45" s="2">
        <v>9736</v>
      </c>
      <c r="H45" s="2">
        <v>9679</v>
      </c>
      <c r="I45" s="2">
        <v>9397</v>
      </c>
      <c r="J45" s="2">
        <v>9021</v>
      </c>
      <c r="K45" s="2">
        <v>10267</v>
      </c>
      <c r="L45" s="2">
        <v>14083</v>
      </c>
      <c r="M45" s="2">
        <v>10148</v>
      </c>
      <c r="N45" s="2">
        <v>7093</v>
      </c>
      <c r="O45" s="1">
        <f t="shared" si="0"/>
        <v>122747</v>
      </c>
      <c r="P45" s="1" t="s">
        <v>9</v>
      </c>
      <c r="Q45" s="1" t="s">
        <v>46</v>
      </c>
      <c r="R45" s="1">
        <v>-30</v>
      </c>
      <c r="S45" s="1">
        <v>2</v>
      </c>
    </row>
    <row r="46" spans="1:19" x14ac:dyDescent="0.3">
      <c r="A46" s="1" t="s">
        <v>59</v>
      </c>
      <c r="B46" s="1" t="s">
        <v>71</v>
      </c>
      <c r="C46" s="2">
        <v>2598</v>
      </c>
      <c r="D46" s="1" t="s">
        <v>133</v>
      </c>
      <c r="E46" s="2">
        <v>2788</v>
      </c>
      <c r="F46" s="2">
        <v>1915</v>
      </c>
      <c r="G46" s="2">
        <v>2104</v>
      </c>
      <c r="H46" s="2">
        <v>2536</v>
      </c>
      <c r="I46" s="2">
        <v>2216</v>
      </c>
      <c r="J46" s="2">
        <v>2464</v>
      </c>
      <c r="K46" s="2">
        <v>2514</v>
      </c>
      <c r="L46" s="2">
        <v>2663</v>
      </c>
      <c r="M46" s="2">
        <v>2203</v>
      </c>
      <c r="N46" s="1">
        <v>749</v>
      </c>
      <c r="O46" s="1">
        <f t="shared" si="0"/>
        <v>24750</v>
      </c>
      <c r="P46" s="1" t="s">
        <v>17</v>
      </c>
      <c r="Q46" s="1" t="s">
        <v>47</v>
      </c>
      <c r="R46" s="1">
        <v>-66</v>
      </c>
      <c r="S46" s="1">
        <v>91</v>
      </c>
    </row>
    <row r="47" spans="1:19" x14ac:dyDescent="0.3">
      <c r="A47" s="1" t="s">
        <v>59</v>
      </c>
      <c r="B47" s="1" t="s">
        <v>72</v>
      </c>
      <c r="C47" s="1">
        <v>496</v>
      </c>
      <c r="D47" s="1">
        <v>366</v>
      </c>
      <c r="E47" s="1">
        <v>348</v>
      </c>
      <c r="F47" s="1">
        <v>193</v>
      </c>
      <c r="G47" s="1">
        <v>193</v>
      </c>
      <c r="H47" s="1">
        <v>128</v>
      </c>
      <c r="I47" s="1">
        <v>251</v>
      </c>
      <c r="J47" s="1">
        <v>174</v>
      </c>
      <c r="K47" s="1">
        <v>312</v>
      </c>
      <c r="L47" s="1">
        <v>296</v>
      </c>
      <c r="M47" s="1">
        <v>434</v>
      </c>
      <c r="N47" s="1">
        <v>825</v>
      </c>
      <c r="O47" s="1">
        <f t="shared" si="0"/>
        <v>4016</v>
      </c>
      <c r="P47" s="1" t="s">
        <v>45</v>
      </c>
      <c r="Q47" s="1" t="s">
        <v>29</v>
      </c>
      <c r="R47" s="1">
        <v>90</v>
      </c>
      <c r="S47" s="1">
        <v>64</v>
      </c>
    </row>
    <row r="48" spans="1:19" x14ac:dyDescent="0.3">
      <c r="A48" s="1" t="s">
        <v>59</v>
      </c>
      <c r="B48" s="1" t="s">
        <v>73</v>
      </c>
      <c r="C48" s="1">
        <v>163</v>
      </c>
      <c r="D48" s="1">
        <v>322</v>
      </c>
      <c r="E48" s="1">
        <v>318</v>
      </c>
      <c r="F48" s="1">
        <v>257</v>
      </c>
      <c r="G48" s="1">
        <v>274</v>
      </c>
      <c r="H48" s="1">
        <v>481</v>
      </c>
      <c r="I48" s="2">
        <v>2429</v>
      </c>
      <c r="J48" s="1">
        <v>592</v>
      </c>
      <c r="K48" s="1">
        <v>599</v>
      </c>
      <c r="L48" s="2">
        <v>1211</v>
      </c>
      <c r="M48" s="1">
        <v>988</v>
      </c>
      <c r="N48" s="2">
        <v>1100</v>
      </c>
      <c r="O48" s="1">
        <f t="shared" si="0"/>
        <v>8734</v>
      </c>
      <c r="P48" s="1" t="s">
        <v>50</v>
      </c>
      <c r="Q48" s="1" t="s">
        <v>46</v>
      </c>
      <c r="R48" s="1">
        <v>11</v>
      </c>
      <c r="S48" s="1">
        <v>51</v>
      </c>
    </row>
    <row r="49" spans="1:19" x14ac:dyDescent="0.3">
      <c r="A49" s="1" t="s">
        <v>59</v>
      </c>
      <c r="B49" s="1" t="s">
        <v>74</v>
      </c>
      <c r="C49" s="2">
        <v>3454</v>
      </c>
      <c r="D49" s="2">
        <v>3059</v>
      </c>
      <c r="E49" s="2">
        <v>2497</v>
      </c>
      <c r="F49" s="2">
        <v>2476</v>
      </c>
      <c r="G49" s="2">
        <v>2227</v>
      </c>
      <c r="H49" s="2">
        <v>1620</v>
      </c>
      <c r="I49" s="2">
        <v>2607</v>
      </c>
      <c r="J49" s="2">
        <v>2102</v>
      </c>
      <c r="K49" s="2">
        <v>1708</v>
      </c>
      <c r="L49" s="2">
        <v>2139</v>
      </c>
      <c r="M49" s="2">
        <v>2283</v>
      </c>
      <c r="N49" s="1">
        <v>8</v>
      </c>
      <c r="O49" s="1">
        <f t="shared" si="0"/>
        <v>26180</v>
      </c>
      <c r="P49" s="1" t="s">
        <v>61</v>
      </c>
      <c r="Q49" s="1" t="s">
        <v>47</v>
      </c>
      <c r="R49" s="1">
        <v>-100</v>
      </c>
      <c r="S49" s="1">
        <v>-87</v>
      </c>
    </row>
    <row r="50" spans="1:19" x14ac:dyDescent="0.3">
      <c r="A50" s="1" t="s">
        <v>59</v>
      </c>
      <c r="B50" s="1" t="s">
        <v>75</v>
      </c>
      <c r="C50" s="2">
        <v>15370</v>
      </c>
      <c r="D50" s="2">
        <v>13165</v>
      </c>
      <c r="E50" s="2">
        <v>15728</v>
      </c>
      <c r="F50" s="2">
        <v>4094</v>
      </c>
      <c r="G50" s="2">
        <v>19393</v>
      </c>
      <c r="H50" s="2">
        <v>16422</v>
      </c>
      <c r="I50" s="2">
        <v>16854</v>
      </c>
      <c r="J50" s="2">
        <v>12844</v>
      </c>
      <c r="K50" s="2">
        <v>16241</v>
      </c>
      <c r="L50" s="2">
        <v>17539</v>
      </c>
      <c r="M50" s="2">
        <v>14737</v>
      </c>
      <c r="N50" s="2">
        <v>10421</v>
      </c>
      <c r="O50" s="1">
        <f t="shared" si="0"/>
        <v>172808</v>
      </c>
      <c r="P50" s="1" t="s">
        <v>17</v>
      </c>
      <c r="Q50" s="1" t="s">
        <v>47</v>
      </c>
      <c r="R50" s="1">
        <v>-29</v>
      </c>
      <c r="S50" s="1">
        <v>-12</v>
      </c>
    </row>
    <row r="51" spans="1:19" x14ac:dyDescent="0.3">
      <c r="A51" s="1" t="s">
        <v>59</v>
      </c>
      <c r="B51" s="1" t="s">
        <v>76</v>
      </c>
      <c r="C51" s="2">
        <v>17756</v>
      </c>
      <c r="D51" s="2">
        <v>19412</v>
      </c>
      <c r="E51" s="2">
        <v>16368</v>
      </c>
      <c r="F51" s="2">
        <v>17850</v>
      </c>
      <c r="G51" s="2">
        <v>14492</v>
      </c>
      <c r="H51" s="2">
        <v>13790</v>
      </c>
      <c r="I51" s="2">
        <v>16191</v>
      </c>
      <c r="J51" s="2">
        <v>16450</v>
      </c>
      <c r="K51" s="2">
        <v>13339</v>
      </c>
      <c r="L51" s="2">
        <v>13922</v>
      </c>
      <c r="M51" s="2">
        <v>13982</v>
      </c>
      <c r="N51" s="2">
        <v>17303</v>
      </c>
      <c r="O51" s="1">
        <f t="shared" si="0"/>
        <v>190855</v>
      </c>
      <c r="P51" s="1" t="s">
        <v>65</v>
      </c>
      <c r="Q51" s="1" t="s">
        <v>47</v>
      </c>
      <c r="R51" s="1">
        <v>24</v>
      </c>
      <c r="S51" s="1">
        <v>102</v>
      </c>
    </row>
    <row r="52" spans="1:19" x14ac:dyDescent="0.3">
      <c r="A52" s="1" t="s">
        <v>59</v>
      </c>
      <c r="B52" s="1" t="s">
        <v>77</v>
      </c>
      <c r="C52" s="2">
        <v>4363</v>
      </c>
      <c r="D52" s="2">
        <v>4093</v>
      </c>
      <c r="E52" s="2">
        <v>4505</v>
      </c>
      <c r="F52" s="2">
        <v>3509</v>
      </c>
      <c r="G52" s="2">
        <v>3241</v>
      </c>
      <c r="H52" s="2">
        <v>3323</v>
      </c>
      <c r="I52" s="2">
        <v>2923</v>
      </c>
      <c r="J52" s="2">
        <v>2740</v>
      </c>
      <c r="K52" s="2">
        <v>3734</v>
      </c>
      <c r="L52" s="2">
        <v>3285</v>
      </c>
      <c r="M52" s="2">
        <v>2483</v>
      </c>
      <c r="N52" s="2">
        <v>2487</v>
      </c>
      <c r="O52" s="1">
        <f t="shared" si="0"/>
        <v>40686</v>
      </c>
      <c r="P52" s="1" t="s">
        <v>50</v>
      </c>
      <c r="Q52" s="1" t="s">
        <v>29</v>
      </c>
      <c r="R52" s="1">
        <v>0</v>
      </c>
      <c r="S52" s="1">
        <v>12</v>
      </c>
    </row>
    <row r="53" spans="1:19" x14ac:dyDescent="0.3">
      <c r="A53" s="1" t="s">
        <v>78</v>
      </c>
      <c r="B53" s="1" t="s">
        <v>79</v>
      </c>
      <c r="C53" s="1">
        <v>966</v>
      </c>
      <c r="D53" s="2">
        <v>1036</v>
      </c>
      <c r="E53" s="2">
        <v>1274</v>
      </c>
      <c r="F53" s="2">
        <v>1019</v>
      </c>
      <c r="G53" s="1">
        <v>991</v>
      </c>
      <c r="H53" s="1">
        <v>938</v>
      </c>
      <c r="I53" s="1">
        <v>929</v>
      </c>
      <c r="J53" s="1">
        <v>937</v>
      </c>
      <c r="K53" s="1">
        <v>760</v>
      </c>
      <c r="L53" s="1">
        <v>767</v>
      </c>
      <c r="M53" s="1">
        <v>548</v>
      </c>
      <c r="N53" s="1">
        <v>700</v>
      </c>
      <c r="O53" s="1">
        <f t="shared" si="0"/>
        <v>10865</v>
      </c>
      <c r="P53" s="1" t="s">
        <v>9</v>
      </c>
      <c r="Q53" s="1" t="s">
        <v>46</v>
      </c>
      <c r="R53" s="1">
        <v>28</v>
      </c>
      <c r="S53" s="1">
        <v>-15</v>
      </c>
    </row>
    <row r="54" spans="1:19" x14ac:dyDescent="0.3">
      <c r="A54" s="1" t="s">
        <v>78</v>
      </c>
      <c r="B54" s="1" t="s">
        <v>80</v>
      </c>
      <c r="C54" s="1">
        <v>505</v>
      </c>
      <c r="D54" s="1">
        <v>920</v>
      </c>
      <c r="E54" s="1">
        <v>875</v>
      </c>
      <c r="F54" s="1">
        <v>993</v>
      </c>
      <c r="G54" s="2">
        <v>1200</v>
      </c>
      <c r="H54" s="2">
        <v>1300</v>
      </c>
      <c r="I54" s="2">
        <v>1200</v>
      </c>
      <c r="J54" s="2">
        <v>1100</v>
      </c>
      <c r="K54" s="2">
        <v>1268</v>
      </c>
      <c r="L54" s="2">
        <v>1151</v>
      </c>
      <c r="M54" s="1">
        <v>600</v>
      </c>
      <c r="N54" s="1">
        <v>700</v>
      </c>
      <c r="O54" s="1">
        <f t="shared" si="0"/>
        <v>11812</v>
      </c>
      <c r="P54" s="1" t="s">
        <v>65</v>
      </c>
      <c r="Q54" s="1" t="s">
        <v>47</v>
      </c>
      <c r="R54" s="1">
        <v>17</v>
      </c>
      <c r="S54" s="1">
        <v>-12</v>
      </c>
    </row>
    <row r="55" spans="1:19" x14ac:dyDescent="0.3">
      <c r="A55" s="1" t="s">
        <v>78</v>
      </c>
      <c r="B55" s="1" t="s">
        <v>81</v>
      </c>
      <c r="C55" s="1">
        <v>139</v>
      </c>
      <c r="D55" s="1">
        <v>168</v>
      </c>
      <c r="E55" s="1">
        <v>131</v>
      </c>
      <c r="F55" s="1">
        <v>124</v>
      </c>
      <c r="G55" s="1">
        <v>135</v>
      </c>
      <c r="H55" s="1">
        <v>132</v>
      </c>
      <c r="I55" s="1">
        <v>191</v>
      </c>
      <c r="J55" s="1">
        <v>236</v>
      </c>
      <c r="K55" s="1">
        <v>200</v>
      </c>
      <c r="L55" s="1">
        <v>176</v>
      </c>
      <c r="M55" s="1">
        <v>138</v>
      </c>
      <c r="N55" s="1">
        <v>100</v>
      </c>
      <c r="O55" s="1">
        <f t="shared" si="0"/>
        <v>1870</v>
      </c>
      <c r="P55" s="1" t="s">
        <v>44</v>
      </c>
      <c r="Q55" s="1" t="s">
        <v>46</v>
      </c>
      <c r="R55" s="1">
        <v>-28</v>
      </c>
      <c r="S55" s="1">
        <v>-29</v>
      </c>
    </row>
    <row r="56" spans="1:19" x14ac:dyDescent="0.3">
      <c r="A56" s="1" t="s">
        <v>78</v>
      </c>
      <c r="B56" s="1" t="s">
        <v>82</v>
      </c>
      <c r="C56" s="2">
        <v>1817</v>
      </c>
      <c r="D56" s="2">
        <v>1826</v>
      </c>
      <c r="E56" s="2">
        <v>1887</v>
      </c>
      <c r="F56" s="2">
        <v>1813</v>
      </c>
      <c r="G56" s="2">
        <v>1906</v>
      </c>
      <c r="H56" s="2">
        <v>1713</v>
      </c>
      <c r="I56" s="2">
        <v>1780</v>
      </c>
      <c r="J56" s="2">
        <v>1814</v>
      </c>
      <c r="K56" s="2">
        <v>1380</v>
      </c>
      <c r="L56" s="2">
        <v>1224</v>
      </c>
      <c r="M56" s="2">
        <v>1106</v>
      </c>
      <c r="N56" s="2">
        <v>1373</v>
      </c>
      <c r="O56" s="1">
        <f t="shared" si="0"/>
        <v>19639</v>
      </c>
      <c r="P56" s="1" t="s">
        <v>45</v>
      </c>
      <c r="Q56" s="1" t="s">
        <v>46</v>
      </c>
      <c r="R56" s="1">
        <v>24</v>
      </c>
      <c r="S56" s="1">
        <v>-37</v>
      </c>
    </row>
    <row r="57" spans="1:19" x14ac:dyDescent="0.3">
      <c r="A57" s="1" t="s">
        <v>78</v>
      </c>
      <c r="B57" s="1" t="s">
        <v>83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2">
        <v>3116</v>
      </c>
      <c r="M57" s="2">
        <v>3144</v>
      </c>
      <c r="N57" s="2">
        <v>3785</v>
      </c>
      <c r="O57" s="1">
        <f t="shared" si="0"/>
        <v>10045</v>
      </c>
      <c r="P57" s="1" t="s">
        <v>9</v>
      </c>
      <c r="Q57" s="1" t="s">
        <v>29</v>
      </c>
      <c r="R57" s="1">
        <v>20</v>
      </c>
      <c r="S57" s="1">
        <v>0</v>
      </c>
    </row>
    <row r="58" spans="1:19" x14ac:dyDescent="0.3">
      <c r="A58" s="1" t="s">
        <v>78</v>
      </c>
      <c r="B58" s="1" t="s">
        <v>84</v>
      </c>
      <c r="C58" s="1">
        <v>398</v>
      </c>
      <c r="D58" s="1">
        <v>582</v>
      </c>
      <c r="E58" s="1">
        <v>481</v>
      </c>
      <c r="F58" s="1">
        <v>536</v>
      </c>
      <c r="G58" s="1">
        <v>537</v>
      </c>
      <c r="H58" s="1">
        <v>561</v>
      </c>
      <c r="I58" s="1">
        <v>472</v>
      </c>
      <c r="J58" s="1">
        <v>484</v>
      </c>
      <c r="K58" s="1">
        <v>980</v>
      </c>
      <c r="L58" s="1">
        <v>611</v>
      </c>
      <c r="M58" s="1">
        <v>483</v>
      </c>
      <c r="N58" s="1">
        <v>858</v>
      </c>
      <c r="O58" s="1">
        <f t="shared" si="0"/>
        <v>6983</v>
      </c>
      <c r="P58" s="1" t="s">
        <v>18</v>
      </c>
      <c r="Q58" s="1" t="s">
        <v>46</v>
      </c>
      <c r="R58" s="1">
        <v>78</v>
      </c>
      <c r="S58" s="1">
        <v>85</v>
      </c>
    </row>
    <row r="59" spans="1:19" x14ac:dyDescent="0.3">
      <c r="A59" s="1" t="s">
        <v>85</v>
      </c>
      <c r="B59" s="1" t="s">
        <v>86</v>
      </c>
      <c r="C59" s="2">
        <v>2863</v>
      </c>
      <c r="D59" s="2">
        <v>2755</v>
      </c>
      <c r="E59" s="2">
        <v>2701</v>
      </c>
      <c r="F59" s="2">
        <v>2404</v>
      </c>
      <c r="G59" s="2">
        <v>2211</v>
      </c>
      <c r="H59" s="2">
        <v>2107</v>
      </c>
      <c r="I59" s="2">
        <v>2011</v>
      </c>
      <c r="J59" s="2">
        <v>2257</v>
      </c>
      <c r="K59" s="2">
        <v>2100</v>
      </c>
      <c r="L59" s="2">
        <v>3119</v>
      </c>
      <c r="M59" s="2">
        <v>2342</v>
      </c>
      <c r="N59" s="2">
        <v>2117</v>
      </c>
      <c r="O59" s="1">
        <f t="shared" si="0"/>
        <v>28987</v>
      </c>
      <c r="P59" s="1" t="s">
        <v>43</v>
      </c>
      <c r="Q59" s="1" t="s">
        <v>46</v>
      </c>
      <c r="R59" s="1">
        <v>-10</v>
      </c>
      <c r="S59" s="1">
        <v>-2</v>
      </c>
    </row>
    <row r="60" spans="1:19" x14ac:dyDescent="0.3">
      <c r="A60" s="1" t="s">
        <v>85</v>
      </c>
      <c r="B60" s="1" t="s">
        <v>87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6</v>
      </c>
      <c r="K60" s="1">
        <v>13</v>
      </c>
      <c r="L60" s="1">
        <v>2</v>
      </c>
      <c r="M60" s="2">
        <v>0</v>
      </c>
      <c r="N60" s="1">
        <v>1</v>
      </c>
      <c r="O60" s="1">
        <f t="shared" si="0"/>
        <v>22</v>
      </c>
      <c r="P60" s="1" t="s">
        <v>44</v>
      </c>
      <c r="Q60" s="1" t="s">
        <v>46</v>
      </c>
      <c r="R60" s="1">
        <v>0</v>
      </c>
      <c r="S60" s="1">
        <v>0</v>
      </c>
    </row>
    <row r="61" spans="1:19" x14ac:dyDescent="0.3">
      <c r="A61" s="1" t="s">
        <v>88</v>
      </c>
      <c r="B61" s="1" t="s">
        <v>89</v>
      </c>
      <c r="C61" s="1">
        <v>750</v>
      </c>
      <c r="D61" s="2">
        <v>1047</v>
      </c>
      <c r="E61" s="2">
        <v>1050</v>
      </c>
      <c r="F61" s="2">
        <v>1059</v>
      </c>
      <c r="G61" s="1">
        <v>850</v>
      </c>
      <c r="H61" s="2">
        <v>1150</v>
      </c>
      <c r="I61" s="1">
        <v>810</v>
      </c>
      <c r="J61" s="1">
        <v>870</v>
      </c>
      <c r="K61" s="1">
        <v>988</v>
      </c>
      <c r="L61" s="2">
        <v>1053</v>
      </c>
      <c r="M61" s="1">
        <v>779</v>
      </c>
      <c r="N61" s="1">
        <v>594</v>
      </c>
      <c r="O61" s="1">
        <f t="shared" si="0"/>
        <v>11000</v>
      </c>
      <c r="P61" s="1" t="s">
        <v>43</v>
      </c>
      <c r="Q61" s="1" t="s">
        <v>46</v>
      </c>
      <c r="R61" s="1">
        <v>-24</v>
      </c>
      <c r="S61" s="1">
        <v>-31</v>
      </c>
    </row>
    <row r="62" spans="1:19" x14ac:dyDescent="0.3">
      <c r="A62" s="1" t="s">
        <v>88</v>
      </c>
      <c r="B62" s="1" t="s">
        <v>90</v>
      </c>
      <c r="C62" s="1">
        <v>856</v>
      </c>
      <c r="D62" s="1">
        <v>828</v>
      </c>
      <c r="E62" s="1">
        <v>928</v>
      </c>
      <c r="F62" s="1">
        <v>977</v>
      </c>
      <c r="G62" s="1">
        <v>743</v>
      </c>
      <c r="H62" s="1">
        <v>603</v>
      </c>
      <c r="I62" s="1">
        <v>565</v>
      </c>
      <c r="J62" s="1">
        <v>634</v>
      </c>
      <c r="K62" s="1">
        <v>691</v>
      </c>
      <c r="L62" s="1">
        <v>706</v>
      </c>
      <c r="M62" s="1">
        <v>546</v>
      </c>
      <c r="N62" s="1">
        <v>628</v>
      </c>
      <c r="O62" s="1">
        <f t="shared" si="0"/>
        <v>8705</v>
      </c>
      <c r="P62" s="1" t="s">
        <v>61</v>
      </c>
      <c r="Q62" s="1" t="s">
        <v>47</v>
      </c>
      <c r="R62" s="1">
        <v>15</v>
      </c>
      <c r="S62" s="1">
        <v>37</v>
      </c>
    </row>
    <row r="63" spans="1:19" x14ac:dyDescent="0.3">
      <c r="A63" s="1" t="s">
        <v>88</v>
      </c>
      <c r="B63" s="1" t="s">
        <v>91</v>
      </c>
      <c r="C63" s="2">
        <v>2220</v>
      </c>
      <c r="D63" s="2">
        <v>2205</v>
      </c>
      <c r="E63" s="2">
        <v>2247</v>
      </c>
      <c r="F63" s="2">
        <v>1671</v>
      </c>
      <c r="G63" s="2">
        <v>2116</v>
      </c>
      <c r="H63" s="2">
        <v>1800</v>
      </c>
      <c r="I63" s="2">
        <v>1457</v>
      </c>
      <c r="J63" s="2">
        <v>1514</v>
      </c>
      <c r="K63" s="2">
        <v>1538</v>
      </c>
      <c r="L63" s="2">
        <v>2111</v>
      </c>
      <c r="M63" s="2">
        <v>1486</v>
      </c>
      <c r="N63" s="2">
        <v>1659</v>
      </c>
      <c r="O63" s="1">
        <f t="shared" si="0"/>
        <v>22024</v>
      </c>
      <c r="P63" s="1" t="s">
        <v>50</v>
      </c>
      <c r="Q63" s="1" t="s">
        <v>29</v>
      </c>
      <c r="R63" s="1">
        <v>12</v>
      </c>
      <c r="S63" s="1">
        <v>149</v>
      </c>
    </row>
    <row r="64" spans="1:19" x14ac:dyDescent="0.3">
      <c r="A64" s="1" t="s">
        <v>92</v>
      </c>
      <c r="B64" s="1" t="s">
        <v>93</v>
      </c>
      <c r="C64" s="1">
        <v>53</v>
      </c>
      <c r="D64" s="1">
        <v>89</v>
      </c>
      <c r="E64" s="1">
        <v>136</v>
      </c>
      <c r="F64" s="1">
        <v>154</v>
      </c>
      <c r="G64" s="1">
        <v>185</v>
      </c>
      <c r="H64" s="1">
        <v>137</v>
      </c>
      <c r="I64" s="1">
        <v>240</v>
      </c>
      <c r="J64" s="1">
        <v>145</v>
      </c>
      <c r="K64" s="1">
        <v>140</v>
      </c>
      <c r="L64" s="1">
        <v>209</v>
      </c>
      <c r="M64" s="1">
        <v>225</v>
      </c>
      <c r="N64" s="1">
        <v>194</v>
      </c>
      <c r="O64" s="1">
        <f t="shared" si="0"/>
        <v>1907</v>
      </c>
      <c r="P64" s="1" t="s">
        <v>44</v>
      </c>
      <c r="Q64" s="1" t="s">
        <v>46</v>
      </c>
      <c r="R64" s="1">
        <v>-14</v>
      </c>
      <c r="S64" s="1">
        <v>-14</v>
      </c>
    </row>
    <row r="65" spans="1:19" x14ac:dyDescent="0.3">
      <c r="A65" s="1" t="s">
        <v>92</v>
      </c>
      <c r="B65" s="1" t="s">
        <v>94</v>
      </c>
      <c r="C65" s="2">
        <v>1082</v>
      </c>
      <c r="D65" s="2">
        <v>1137</v>
      </c>
      <c r="E65" s="2">
        <v>1293</v>
      </c>
      <c r="F65" s="2">
        <v>1159</v>
      </c>
      <c r="G65" s="2">
        <v>1157</v>
      </c>
      <c r="H65" s="2">
        <v>1198</v>
      </c>
      <c r="I65" s="2">
        <v>1070</v>
      </c>
      <c r="J65" s="2">
        <v>1502</v>
      </c>
      <c r="K65" s="2">
        <v>1767</v>
      </c>
      <c r="L65" s="2">
        <v>2213</v>
      </c>
      <c r="M65" s="2">
        <v>1524</v>
      </c>
      <c r="N65" s="2">
        <v>2465</v>
      </c>
      <c r="O65" s="1">
        <f t="shared" si="0"/>
        <v>17567</v>
      </c>
      <c r="P65" s="1" t="s">
        <v>9</v>
      </c>
      <c r="Q65" s="1" t="s">
        <v>46</v>
      </c>
      <c r="R65" s="1">
        <v>62</v>
      </c>
      <c r="S65" s="1">
        <v>-1</v>
      </c>
    </row>
    <row r="66" spans="1:19" x14ac:dyDescent="0.3">
      <c r="A66" s="1" t="s">
        <v>92</v>
      </c>
      <c r="B66" s="1" t="s">
        <v>95</v>
      </c>
      <c r="C66" s="2">
        <v>1242</v>
      </c>
      <c r="D66" s="2">
        <v>1028</v>
      </c>
      <c r="E66" s="2">
        <v>1358</v>
      </c>
      <c r="F66" s="2">
        <v>1253</v>
      </c>
      <c r="G66" s="2">
        <v>1538</v>
      </c>
      <c r="H66" s="2">
        <v>1230</v>
      </c>
      <c r="I66" s="1">
        <v>793</v>
      </c>
      <c r="J66" s="2">
        <v>1122</v>
      </c>
      <c r="K66" s="2">
        <v>1391</v>
      </c>
      <c r="L66" s="2">
        <v>1637</v>
      </c>
      <c r="M66" s="2">
        <v>1131</v>
      </c>
      <c r="N66" s="2">
        <v>1894</v>
      </c>
      <c r="O66" s="1">
        <f t="shared" si="0"/>
        <v>15617</v>
      </c>
      <c r="P66" s="1" t="s">
        <v>9</v>
      </c>
      <c r="Q66" s="1" t="s">
        <v>10</v>
      </c>
      <c r="R66" s="1">
        <v>67</v>
      </c>
      <c r="S66" s="1">
        <v>-3</v>
      </c>
    </row>
    <row r="67" spans="1:19" x14ac:dyDescent="0.3">
      <c r="A67" s="1" t="s">
        <v>92</v>
      </c>
      <c r="B67" s="1" t="s">
        <v>96</v>
      </c>
      <c r="C67" s="2">
        <v>0</v>
      </c>
      <c r="D67" s="2">
        <v>0</v>
      </c>
      <c r="E67" s="1">
        <v>15</v>
      </c>
      <c r="F67" s="1">
        <v>13</v>
      </c>
      <c r="G67" s="1">
        <v>4</v>
      </c>
      <c r="H67" s="1">
        <v>1</v>
      </c>
      <c r="I67" s="2">
        <v>0</v>
      </c>
      <c r="J67" s="1">
        <v>3</v>
      </c>
      <c r="K67" s="1">
        <v>3</v>
      </c>
      <c r="L67" s="1">
        <v>20</v>
      </c>
      <c r="M67" s="1">
        <v>6</v>
      </c>
      <c r="N67" s="2">
        <v>1</v>
      </c>
      <c r="O67" s="1">
        <f t="shared" ref="O67:O88" si="1">SUM(C67:N67)</f>
        <v>66</v>
      </c>
      <c r="P67" s="1" t="s">
        <v>44</v>
      </c>
      <c r="Q67" s="1" t="s">
        <v>10</v>
      </c>
      <c r="R67" s="1">
        <v>-83</v>
      </c>
      <c r="S67" s="1">
        <v>0</v>
      </c>
    </row>
    <row r="68" spans="1:19" x14ac:dyDescent="0.3">
      <c r="A68" s="1" t="s">
        <v>97</v>
      </c>
      <c r="B68" s="1" t="s">
        <v>98</v>
      </c>
      <c r="C68" s="2">
        <v>4935</v>
      </c>
      <c r="D68" s="2">
        <v>4568</v>
      </c>
      <c r="E68" s="2">
        <v>5985</v>
      </c>
      <c r="F68" s="2">
        <v>5148</v>
      </c>
      <c r="G68" s="2">
        <v>4983</v>
      </c>
      <c r="H68" s="2">
        <v>3937</v>
      </c>
      <c r="I68" s="2">
        <v>3444</v>
      </c>
      <c r="J68" s="2">
        <v>3031</v>
      </c>
      <c r="K68" s="2">
        <v>2758</v>
      </c>
      <c r="L68" s="2">
        <v>2642</v>
      </c>
      <c r="M68" s="2">
        <v>2083</v>
      </c>
      <c r="N68" s="2">
        <v>1866</v>
      </c>
      <c r="O68" s="1">
        <f t="shared" si="1"/>
        <v>45380</v>
      </c>
      <c r="P68" s="1" t="s">
        <v>17</v>
      </c>
      <c r="Q68" s="1" t="s">
        <v>47</v>
      </c>
      <c r="R68" s="1">
        <v>-10</v>
      </c>
      <c r="S68" s="1">
        <v>-54</v>
      </c>
    </row>
    <row r="69" spans="1:19" x14ac:dyDescent="0.3">
      <c r="A69" s="1" t="s">
        <v>97</v>
      </c>
      <c r="B69" s="1" t="s">
        <v>99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3455</v>
      </c>
      <c r="K69" s="2">
        <v>4763</v>
      </c>
      <c r="L69" s="2">
        <v>5351</v>
      </c>
      <c r="M69" s="2">
        <v>5101</v>
      </c>
      <c r="N69" s="2">
        <v>4994</v>
      </c>
      <c r="O69" s="1">
        <f t="shared" si="1"/>
        <v>23664</v>
      </c>
      <c r="P69" s="1" t="s">
        <v>9</v>
      </c>
      <c r="Q69" s="1" t="s">
        <v>46</v>
      </c>
      <c r="R69" s="1">
        <v>-2</v>
      </c>
      <c r="S69" s="1">
        <v>0</v>
      </c>
    </row>
    <row r="70" spans="1:19" x14ac:dyDescent="0.3">
      <c r="A70" s="1" t="s">
        <v>97</v>
      </c>
      <c r="B70" s="1" t="s">
        <v>100</v>
      </c>
      <c r="C70" s="2">
        <v>2626</v>
      </c>
      <c r="D70" s="2">
        <v>2562</v>
      </c>
      <c r="E70" s="2">
        <v>2054</v>
      </c>
      <c r="F70" s="2">
        <v>1746</v>
      </c>
      <c r="G70" s="2">
        <v>1625</v>
      </c>
      <c r="H70" s="2">
        <v>1347</v>
      </c>
      <c r="I70" s="2">
        <v>1991</v>
      </c>
      <c r="J70" s="2">
        <v>1892</v>
      </c>
      <c r="K70" s="2">
        <v>1600</v>
      </c>
      <c r="L70" s="2">
        <v>1947</v>
      </c>
      <c r="M70" s="2">
        <v>1374</v>
      </c>
      <c r="N70" s="2">
        <v>1307</v>
      </c>
      <c r="O70" s="1">
        <f t="shared" si="1"/>
        <v>22071</v>
      </c>
      <c r="P70" s="1" t="s">
        <v>45</v>
      </c>
      <c r="Q70" s="1" t="s">
        <v>46</v>
      </c>
      <c r="R70" s="1">
        <v>-5</v>
      </c>
      <c r="S70" s="1">
        <v>-7</v>
      </c>
    </row>
    <row r="71" spans="1:19" x14ac:dyDescent="0.3">
      <c r="A71" s="1" t="s">
        <v>97</v>
      </c>
      <c r="B71" s="1" t="s">
        <v>101</v>
      </c>
      <c r="C71" s="2">
        <v>17182</v>
      </c>
      <c r="D71" s="2">
        <v>14395</v>
      </c>
      <c r="E71" s="2">
        <v>14058</v>
      </c>
      <c r="F71" s="2">
        <v>11168</v>
      </c>
      <c r="G71" s="2">
        <v>11457</v>
      </c>
      <c r="H71" s="2">
        <v>12066</v>
      </c>
      <c r="I71" s="2">
        <v>13902</v>
      </c>
      <c r="J71" s="2">
        <v>12289</v>
      </c>
      <c r="K71" s="2">
        <v>11470</v>
      </c>
      <c r="L71" s="2">
        <v>14759</v>
      </c>
      <c r="M71" s="2">
        <v>15329</v>
      </c>
      <c r="N71" s="2">
        <v>13536</v>
      </c>
      <c r="O71" s="1">
        <f t="shared" si="1"/>
        <v>161611</v>
      </c>
      <c r="P71" s="1" t="s">
        <v>43</v>
      </c>
      <c r="Q71" s="1" t="s">
        <v>46</v>
      </c>
      <c r="R71" s="1">
        <v>-12</v>
      </c>
      <c r="S71" s="1">
        <v>-11</v>
      </c>
    </row>
    <row r="72" spans="1:19" x14ac:dyDescent="0.3">
      <c r="A72" s="1" t="s">
        <v>97</v>
      </c>
      <c r="B72" s="1" t="s">
        <v>102</v>
      </c>
      <c r="C72" s="2">
        <v>17978</v>
      </c>
      <c r="D72" s="2">
        <v>18438</v>
      </c>
      <c r="E72" s="2">
        <v>17547</v>
      </c>
      <c r="F72" s="2">
        <v>19158</v>
      </c>
      <c r="G72" s="2">
        <v>18949</v>
      </c>
      <c r="H72" s="2">
        <v>18238</v>
      </c>
      <c r="I72" s="2">
        <v>16121</v>
      </c>
      <c r="J72" s="2">
        <v>15643</v>
      </c>
      <c r="K72" s="2">
        <v>13711</v>
      </c>
      <c r="L72" s="2">
        <v>15740</v>
      </c>
      <c r="M72" s="2">
        <v>15435</v>
      </c>
      <c r="N72" s="2">
        <v>15073</v>
      </c>
      <c r="O72" s="1">
        <f t="shared" si="1"/>
        <v>202031</v>
      </c>
      <c r="P72" s="1" t="s">
        <v>43</v>
      </c>
      <c r="Q72" s="1" t="s">
        <v>46</v>
      </c>
      <c r="R72" s="1">
        <v>-2</v>
      </c>
      <c r="S72" s="1">
        <v>9</v>
      </c>
    </row>
    <row r="73" spans="1:19" x14ac:dyDescent="0.3">
      <c r="A73" s="1" t="s">
        <v>97</v>
      </c>
      <c r="B73" s="1" t="s">
        <v>103</v>
      </c>
      <c r="C73" s="2">
        <v>2893</v>
      </c>
      <c r="D73" s="2">
        <v>2648</v>
      </c>
      <c r="E73" s="2">
        <v>2063</v>
      </c>
      <c r="F73" s="2">
        <v>1716</v>
      </c>
      <c r="G73" s="2">
        <v>1661</v>
      </c>
      <c r="H73" s="2">
        <v>1394</v>
      </c>
      <c r="I73" s="2">
        <v>2109</v>
      </c>
      <c r="J73" s="2">
        <v>1951</v>
      </c>
      <c r="K73" s="2">
        <v>1644</v>
      </c>
      <c r="L73" s="2">
        <v>2086</v>
      </c>
      <c r="M73" s="2">
        <v>1563</v>
      </c>
      <c r="N73" s="2">
        <v>1385</v>
      </c>
      <c r="O73" s="1">
        <f t="shared" si="1"/>
        <v>23113</v>
      </c>
      <c r="P73" s="1" t="s">
        <v>45</v>
      </c>
      <c r="Q73" s="1" t="s">
        <v>46</v>
      </c>
      <c r="R73" s="1">
        <v>-11</v>
      </c>
      <c r="S73" s="1">
        <v>-34</v>
      </c>
    </row>
    <row r="74" spans="1:19" x14ac:dyDescent="0.3">
      <c r="A74" s="1" t="s">
        <v>97</v>
      </c>
      <c r="B74" s="1" t="s">
        <v>104</v>
      </c>
      <c r="C74" s="2">
        <v>6482</v>
      </c>
      <c r="D74" s="2">
        <v>6947</v>
      </c>
      <c r="E74" s="2">
        <v>6381</v>
      </c>
      <c r="F74" s="2">
        <v>6796</v>
      </c>
      <c r="G74" s="2">
        <v>5927</v>
      </c>
      <c r="H74" s="2">
        <v>5174</v>
      </c>
      <c r="I74" s="2">
        <v>5665</v>
      </c>
      <c r="J74" s="2">
        <v>4733</v>
      </c>
      <c r="K74" s="2">
        <v>4225</v>
      </c>
      <c r="L74" s="2">
        <v>4682</v>
      </c>
      <c r="M74" s="2">
        <v>5319</v>
      </c>
      <c r="N74" s="2">
        <v>5006</v>
      </c>
      <c r="O74" s="1">
        <f t="shared" si="1"/>
        <v>67337</v>
      </c>
      <c r="P74" s="1" t="s">
        <v>65</v>
      </c>
      <c r="Q74" s="1" t="s">
        <v>47</v>
      </c>
      <c r="R74" s="1">
        <v>-6</v>
      </c>
      <c r="S74" s="1">
        <v>3</v>
      </c>
    </row>
    <row r="75" spans="1:19" x14ac:dyDescent="0.3">
      <c r="A75" s="1" t="s">
        <v>97</v>
      </c>
      <c r="B75" s="1" t="s">
        <v>105</v>
      </c>
      <c r="C75" s="2">
        <v>1539</v>
      </c>
      <c r="D75" s="2">
        <v>1712</v>
      </c>
      <c r="E75" s="2">
        <v>2017</v>
      </c>
      <c r="F75" s="2">
        <v>2153</v>
      </c>
      <c r="G75" s="2">
        <v>2098</v>
      </c>
      <c r="H75" s="6">
        <v>1797</v>
      </c>
      <c r="I75" s="2">
        <v>1495</v>
      </c>
      <c r="J75" s="2">
        <v>1148</v>
      </c>
      <c r="K75" s="2">
        <v>894</v>
      </c>
      <c r="L75" s="2">
        <v>926</v>
      </c>
      <c r="M75" s="2">
        <v>859</v>
      </c>
      <c r="N75" s="2">
        <v>1054</v>
      </c>
      <c r="O75" s="1">
        <f t="shared" si="1"/>
        <v>17692</v>
      </c>
      <c r="P75" s="1" t="s">
        <v>43</v>
      </c>
      <c r="Q75" s="1" t="s">
        <v>10</v>
      </c>
      <c r="R75" s="1">
        <v>23</v>
      </c>
      <c r="S75" s="1">
        <v>-46</v>
      </c>
    </row>
    <row r="76" spans="1:19" x14ac:dyDescent="0.3">
      <c r="A76" s="1" t="s">
        <v>106</v>
      </c>
      <c r="B76" s="1" t="s">
        <v>107</v>
      </c>
      <c r="C76" s="1">
        <v>312</v>
      </c>
      <c r="D76" s="1">
        <v>210</v>
      </c>
      <c r="E76" s="1">
        <v>232</v>
      </c>
      <c r="F76" s="1">
        <v>179</v>
      </c>
      <c r="G76" s="1">
        <v>122</v>
      </c>
      <c r="H76" s="1">
        <v>143</v>
      </c>
      <c r="I76" s="1">
        <v>126</v>
      </c>
      <c r="J76" s="1">
        <v>154</v>
      </c>
      <c r="K76" s="1">
        <v>127</v>
      </c>
      <c r="L76" s="1">
        <v>176</v>
      </c>
      <c r="M76" s="1">
        <v>130</v>
      </c>
      <c r="N76" s="1">
        <v>88</v>
      </c>
      <c r="O76" s="1">
        <f t="shared" si="1"/>
        <v>1999</v>
      </c>
      <c r="P76" s="1" t="s">
        <v>44</v>
      </c>
      <c r="Q76" s="1" t="s">
        <v>10</v>
      </c>
      <c r="R76" s="1">
        <v>-32</v>
      </c>
      <c r="S76" s="1">
        <v>-51</v>
      </c>
    </row>
    <row r="77" spans="1:19" x14ac:dyDescent="0.3">
      <c r="A77" s="1" t="s">
        <v>106</v>
      </c>
      <c r="B77" s="1" t="s">
        <v>108</v>
      </c>
      <c r="C77" s="2">
        <v>3213</v>
      </c>
      <c r="D77" s="2">
        <v>3395</v>
      </c>
      <c r="E77" s="2">
        <v>3621</v>
      </c>
      <c r="F77" s="2">
        <v>2325</v>
      </c>
      <c r="G77" s="2">
        <v>2422</v>
      </c>
      <c r="H77" s="2">
        <v>2675</v>
      </c>
      <c r="I77" s="2">
        <v>2380</v>
      </c>
      <c r="J77" s="2">
        <v>2338</v>
      </c>
      <c r="K77" s="2">
        <v>2473</v>
      </c>
      <c r="L77" s="2">
        <v>3684</v>
      </c>
      <c r="M77" s="2">
        <v>2865</v>
      </c>
      <c r="N77" s="2">
        <v>2206</v>
      </c>
      <c r="O77" s="1">
        <f t="shared" si="1"/>
        <v>33597</v>
      </c>
      <c r="P77" s="1" t="s">
        <v>44</v>
      </c>
      <c r="Q77" s="1" t="s">
        <v>46</v>
      </c>
      <c r="R77" s="1">
        <v>-23</v>
      </c>
      <c r="S77" s="1">
        <v>-29</v>
      </c>
    </row>
    <row r="78" spans="1:19" x14ac:dyDescent="0.3">
      <c r="A78" s="1" t="s">
        <v>106</v>
      </c>
      <c r="B78" s="1" t="s">
        <v>109</v>
      </c>
      <c r="C78" s="2">
        <v>3740</v>
      </c>
      <c r="D78" s="2">
        <v>4581</v>
      </c>
      <c r="E78" s="2">
        <v>4319</v>
      </c>
      <c r="F78" s="2">
        <v>4380</v>
      </c>
      <c r="G78" s="2">
        <v>4517</v>
      </c>
      <c r="H78" s="2">
        <v>4118</v>
      </c>
      <c r="I78" s="2">
        <v>4836</v>
      </c>
      <c r="J78" s="2">
        <v>4624</v>
      </c>
      <c r="K78" s="2">
        <v>3246</v>
      </c>
      <c r="L78" s="2">
        <v>4273</v>
      </c>
      <c r="M78" s="2">
        <v>3806</v>
      </c>
      <c r="N78" s="2">
        <v>3487</v>
      </c>
      <c r="O78" s="1">
        <f t="shared" si="1"/>
        <v>49927</v>
      </c>
      <c r="P78" s="1" t="s">
        <v>17</v>
      </c>
      <c r="Q78" s="1" t="s">
        <v>47</v>
      </c>
      <c r="R78" s="1">
        <v>-8</v>
      </c>
      <c r="S78" s="1">
        <v>-15</v>
      </c>
    </row>
    <row r="79" spans="1:19" x14ac:dyDescent="0.3">
      <c r="A79" s="1" t="s">
        <v>106</v>
      </c>
      <c r="B79" s="1" t="s">
        <v>110</v>
      </c>
      <c r="C79" s="1">
        <v>289</v>
      </c>
      <c r="D79" s="1">
        <v>245</v>
      </c>
      <c r="E79" s="1">
        <v>356</v>
      </c>
      <c r="F79" s="1">
        <v>264</v>
      </c>
      <c r="G79" s="1">
        <v>283</v>
      </c>
      <c r="H79" s="1">
        <v>236</v>
      </c>
      <c r="I79" s="1">
        <v>178</v>
      </c>
      <c r="J79" s="1">
        <v>204</v>
      </c>
      <c r="K79" s="1">
        <v>186</v>
      </c>
      <c r="L79" s="1">
        <v>342</v>
      </c>
      <c r="M79" s="1">
        <v>149</v>
      </c>
      <c r="N79" s="1">
        <v>170</v>
      </c>
      <c r="O79" s="1">
        <f t="shared" si="1"/>
        <v>2902</v>
      </c>
      <c r="P79" s="1" t="s">
        <v>44</v>
      </c>
      <c r="Q79" s="1" t="s">
        <v>111</v>
      </c>
      <c r="R79" s="1">
        <v>14</v>
      </c>
      <c r="S79" s="1">
        <v>-47</v>
      </c>
    </row>
    <row r="80" spans="1:19" x14ac:dyDescent="0.3">
      <c r="A80" s="1" t="s">
        <v>106</v>
      </c>
      <c r="B80" s="1" t="s">
        <v>112</v>
      </c>
      <c r="C80" s="2">
        <v>5543</v>
      </c>
      <c r="D80" s="2">
        <v>5601</v>
      </c>
      <c r="E80" s="2">
        <v>5965</v>
      </c>
      <c r="F80" s="2">
        <v>3252</v>
      </c>
      <c r="G80" s="2">
        <v>3906</v>
      </c>
      <c r="H80" s="2">
        <v>4275</v>
      </c>
      <c r="I80" s="2">
        <v>7419</v>
      </c>
      <c r="J80" s="2">
        <v>6534</v>
      </c>
      <c r="K80" s="2">
        <v>5385</v>
      </c>
      <c r="L80" s="2">
        <v>5449</v>
      </c>
      <c r="M80" s="2">
        <v>4857</v>
      </c>
      <c r="N80" s="2">
        <v>4770</v>
      </c>
      <c r="O80" s="1">
        <f t="shared" si="1"/>
        <v>62956</v>
      </c>
      <c r="P80" s="1" t="s">
        <v>9</v>
      </c>
      <c r="Q80" s="1" t="s">
        <v>46</v>
      </c>
      <c r="R80" s="1">
        <v>-2</v>
      </c>
      <c r="S80" s="1">
        <v>-4</v>
      </c>
    </row>
    <row r="81" spans="1:19" x14ac:dyDescent="0.3">
      <c r="A81" s="1" t="s">
        <v>106</v>
      </c>
      <c r="B81" s="1" t="s">
        <v>113</v>
      </c>
      <c r="C81" s="2">
        <v>9400</v>
      </c>
      <c r="D81" s="2">
        <v>8481</v>
      </c>
      <c r="E81" s="2">
        <v>9900</v>
      </c>
      <c r="F81" s="2">
        <v>7103</v>
      </c>
      <c r="G81" s="2">
        <v>8548</v>
      </c>
      <c r="H81" s="2">
        <v>9412</v>
      </c>
      <c r="I81" s="2">
        <v>9912</v>
      </c>
      <c r="J81" s="2">
        <v>9687</v>
      </c>
      <c r="K81" s="2">
        <v>8052</v>
      </c>
      <c r="L81" s="2">
        <v>8838</v>
      </c>
      <c r="M81" s="2">
        <v>7867</v>
      </c>
      <c r="N81" s="2">
        <v>9700</v>
      </c>
      <c r="O81" s="1">
        <f t="shared" si="1"/>
        <v>106900</v>
      </c>
      <c r="P81" s="1" t="s">
        <v>45</v>
      </c>
      <c r="Q81" s="1" t="s">
        <v>29</v>
      </c>
      <c r="R81" s="1">
        <v>23</v>
      </c>
      <c r="S81" s="1">
        <v>24</v>
      </c>
    </row>
    <row r="82" spans="1:19" x14ac:dyDescent="0.3">
      <c r="A82" s="1" t="s">
        <v>106</v>
      </c>
      <c r="B82" s="1" t="s">
        <v>114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1">
        <f t="shared" si="1"/>
        <v>0</v>
      </c>
      <c r="P82" s="1" t="s">
        <v>18</v>
      </c>
      <c r="Q82" s="1" t="s">
        <v>46</v>
      </c>
      <c r="R82" s="1">
        <v>0</v>
      </c>
      <c r="S82" s="1">
        <v>0</v>
      </c>
    </row>
    <row r="83" spans="1:19" ht="28.8" x14ac:dyDescent="0.3">
      <c r="A83" s="1" t="s">
        <v>106</v>
      </c>
      <c r="B83" s="1" t="s">
        <v>115</v>
      </c>
      <c r="C83" s="1">
        <v>639</v>
      </c>
      <c r="D83" s="1">
        <v>730</v>
      </c>
      <c r="E83" s="1">
        <v>688</v>
      </c>
      <c r="F83" s="2">
        <v>1192</v>
      </c>
      <c r="G83" s="2">
        <v>1919</v>
      </c>
      <c r="H83" s="2">
        <v>1566</v>
      </c>
      <c r="I83" s="2">
        <v>1929</v>
      </c>
      <c r="J83" s="2">
        <v>1721</v>
      </c>
      <c r="K83" s="2">
        <v>1968</v>
      </c>
      <c r="L83" s="2">
        <v>2169</v>
      </c>
      <c r="M83" s="2">
        <v>1803</v>
      </c>
      <c r="N83" s="2">
        <v>1775</v>
      </c>
      <c r="O83" s="1">
        <f t="shared" si="1"/>
        <v>18099</v>
      </c>
      <c r="P83" s="3" t="s">
        <v>116</v>
      </c>
      <c r="Q83" s="1" t="s">
        <v>29</v>
      </c>
      <c r="R83" s="1">
        <v>-2</v>
      </c>
      <c r="S83" s="1">
        <v>113</v>
      </c>
    </row>
    <row r="84" spans="1:19" x14ac:dyDescent="0.3">
      <c r="A84" s="1" t="s">
        <v>106</v>
      </c>
      <c r="B84" s="1" t="s">
        <v>117</v>
      </c>
      <c r="C84" s="2">
        <v>0</v>
      </c>
      <c r="D84" s="2">
        <v>0</v>
      </c>
      <c r="E84" s="2">
        <v>0</v>
      </c>
      <c r="F84" s="2">
        <v>0</v>
      </c>
      <c r="G84" s="2">
        <v>2180</v>
      </c>
      <c r="H84" s="2">
        <v>3185</v>
      </c>
      <c r="I84" s="2">
        <v>2640</v>
      </c>
      <c r="J84" s="2">
        <v>3213</v>
      </c>
      <c r="K84" s="2">
        <v>2278</v>
      </c>
      <c r="L84" s="2">
        <v>3092</v>
      </c>
      <c r="M84" s="2">
        <v>3620</v>
      </c>
      <c r="N84" s="2">
        <v>2628</v>
      </c>
      <c r="O84" s="1">
        <f t="shared" si="1"/>
        <v>22836</v>
      </c>
      <c r="P84" s="1" t="s">
        <v>43</v>
      </c>
      <c r="Q84" s="1" t="s">
        <v>47</v>
      </c>
      <c r="R84" s="1">
        <v>-27</v>
      </c>
      <c r="S84" s="1">
        <v>0</v>
      </c>
    </row>
    <row r="85" spans="1:19" x14ac:dyDescent="0.3">
      <c r="A85" s="1" t="s">
        <v>106</v>
      </c>
      <c r="B85" s="1" t="s">
        <v>118</v>
      </c>
      <c r="C85" s="1">
        <v>61</v>
      </c>
      <c r="D85" s="1">
        <v>57</v>
      </c>
      <c r="E85" s="1">
        <v>38</v>
      </c>
      <c r="F85" s="1">
        <v>5</v>
      </c>
      <c r="G85" s="1">
        <v>62</v>
      </c>
      <c r="H85" s="1">
        <v>142</v>
      </c>
      <c r="I85" s="1">
        <v>113</v>
      </c>
      <c r="J85" s="1">
        <v>114</v>
      </c>
      <c r="K85" s="1">
        <v>87</v>
      </c>
      <c r="L85" s="1">
        <v>115</v>
      </c>
      <c r="M85" s="1">
        <v>86</v>
      </c>
      <c r="N85" s="1">
        <v>63</v>
      </c>
      <c r="O85" s="1">
        <f t="shared" si="1"/>
        <v>943</v>
      </c>
      <c r="P85" s="1" t="s">
        <v>18</v>
      </c>
      <c r="Q85" s="1" t="s">
        <v>29</v>
      </c>
      <c r="R85" s="1">
        <v>-27</v>
      </c>
      <c r="S85" s="1">
        <v>70</v>
      </c>
    </row>
    <row r="86" spans="1:19" x14ac:dyDescent="0.3">
      <c r="A86" s="1" t="s">
        <v>119</v>
      </c>
      <c r="B86" s="1" t="s">
        <v>120</v>
      </c>
      <c r="C86" s="2">
        <v>1275</v>
      </c>
      <c r="D86" s="2">
        <v>1286</v>
      </c>
      <c r="E86" s="2">
        <v>1588</v>
      </c>
      <c r="F86" s="2">
        <v>1758</v>
      </c>
      <c r="G86" s="2">
        <v>1561</v>
      </c>
      <c r="H86" s="2">
        <v>1519</v>
      </c>
      <c r="I86" s="2">
        <v>1564</v>
      </c>
      <c r="J86" s="2">
        <v>1628</v>
      </c>
      <c r="K86" s="2">
        <v>1611</v>
      </c>
      <c r="L86" s="2">
        <v>2028</v>
      </c>
      <c r="M86" s="2">
        <v>1497</v>
      </c>
      <c r="N86" s="2">
        <v>2335</v>
      </c>
      <c r="O86" s="1">
        <f t="shared" si="1"/>
        <v>19650</v>
      </c>
      <c r="P86" s="1" t="s">
        <v>9</v>
      </c>
      <c r="Q86" s="1" t="s">
        <v>46</v>
      </c>
      <c r="R86" s="1">
        <v>56</v>
      </c>
      <c r="S86" s="1">
        <v>-5</v>
      </c>
    </row>
    <row r="87" spans="1:19" x14ac:dyDescent="0.3">
      <c r="A87" s="1" t="s">
        <v>119</v>
      </c>
      <c r="B87" s="1" t="s">
        <v>121</v>
      </c>
      <c r="C87" s="1">
        <v>113</v>
      </c>
      <c r="D87" s="1">
        <v>102</v>
      </c>
      <c r="E87" s="1">
        <v>94</v>
      </c>
      <c r="F87" s="1">
        <v>108</v>
      </c>
      <c r="G87" s="1">
        <v>102</v>
      </c>
      <c r="H87" s="1">
        <v>85</v>
      </c>
      <c r="I87" s="1">
        <v>77</v>
      </c>
      <c r="J87" s="1">
        <v>73</v>
      </c>
      <c r="K87" s="1">
        <v>86</v>
      </c>
      <c r="L87" s="1">
        <v>79</v>
      </c>
      <c r="M87" s="1">
        <v>79</v>
      </c>
      <c r="N87" s="1">
        <v>195</v>
      </c>
      <c r="O87" s="1">
        <f t="shared" si="1"/>
        <v>1193</v>
      </c>
      <c r="P87" s="1" t="s">
        <v>44</v>
      </c>
      <c r="Q87" s="1" t="s">
        <v>46</v>
      </c>
      <c r="R87" s="1">
        <v>147</v>
      </c>
      <c r="S87" s="1">
        <v>-29</v>
      </c>
    </row>
    <row r="88" spans="1:19" x14ac:dyDescent="0.3">
      <c r="A88" s="1" t="s">
        <v>119</v>
      </c>
      <c r="B88" s="1" t="s">
        <v>122</v>
      </c>
      <c r="C88" s="2">
        <v>1879</v>
      </c>
      <c r="D88" s="2">
        <v>1631</v>
      </c>
      <c r="E88" s="2">
        <v>1847</v>
      </c>
      <c r="F88" s="2">
        <v>1183</v>
      </c>
      <c r="G88" s="2">
        <v>1610</v>
      </c>
      <c r="H88" s="2">
        <v>1656</v>
      </c>
      <c r="I88" s="2">
        <v>1766</v>
      </c>
      <c r="J88" s="2">
        <v>1876</v>
      </c>
      <c r="K88" s="2">
        <v>1697</v>
      </c>
      <c r="L88" s="2">
        <v>2351</v>
      </c>
      <c r="M88" s="2">
        <v>1457</v>
      </c>
      <c r="N88" s="2">
        <v>2257</v>
      </c>
      <c r="O88" s="1">
        <f t="shared" si="1"/>
        <v>21210</v>
      </c>
      <c r="P88" s="1" t="s">
        <v>9</v>
      </c>
      <c r="Q88" s="1" t="s">
        <v>10</v>
      </c>
      <c r="R88" s="1">
        <v>55</v>
      </c>
      <c r="S88" s="1">
        <v>3</v>
      </c>
    </row>
  </sheetData>
  <mergeCells count="1">
    <mergeCell ref="V3:Z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90BE-E112-45FD-B211-B12FB6039A21}">
  <dimension ref="A1:C105"/>
  <sheetViews>
    <sheetView workbookViewId="0">
      <selection activeCell="B39" sqref="B39"/>
    </sheetView>
  </sheetViews>
  <sheetFormatPr defaultRowHeight="14.4" x14ac:dyDescent="0.3"/>
  <cols>
    <col min="1" max="1" width="28.21875" bestFit="1" customWidth="1"/>
    <col min="2" max="2" width="14" bestFit="1" customWidth="1"/>
    <col min="3" max="3" width="11.88671875" bestFit="1" customWidth="1"/>
  </cols>
  <sheetData>
    <row r="1" spans="1:3" ht="14.4" customHeight="1" x14ac:dyDescent="0.3">
      <c r="A1" s="13" t="s">
        <v>137</v>
      </c>
      <c r="B1" s="13"/>
      <c r="C1" s="13"/>
    </row>
    <row r="2" spans="1:3" ht="14.4" customHeight="1" x14ac:dyDescent="0.3">
      <c r="A2" s="13"/>
      <c r="B2" s="13"/>
      <c r="C2" s="13"/>
    </row>
    <row r="3" spans="1:3" x14ac:dyDescent="0.3">
      <c r="A3" s="7" t="s">
        <v>138</v>
      </c>
      <c r="B3" t="s">
        <v>173</v>
      </c>
      <c r="C3" t="s">
        <v>172</v>
      </c>
    </row>
    <row r="4" spans="1:3" x14ac:dyDescent="0.3">
      <c r="A4" s="8" t="s">
        <v>59</v>
      </c>
      <c r="B4">
        <v>1753314</v>
      </c>
      <c r="C4" s="10">
        <v>0.40901701164055032</v>
      </c>
    </row>
    <row r="5" spans="1:3" x14ac:dyDescent="0.3">
      <c r="A5" s="9" t="s">
        <v>60</v>
      </c>
      <c r="B5">
        <v>105922</v>
      </c>
      <c r="C5" s="10">
        <v>2.4709721080759278E-2</v>
      </c>
    </row>
    <row r="6" spans="1:3" x14ac:dyDescent="0.3">
      <c r="A6" s="9" t="s">
        <v>62</v>
      </c>
      <c r="B6">
        <v>172094</v>
      </c>
      <c r="C6" s="10">
        <v>4.0146473250808966E-2</v>
      </c>
    </row>
    <row r="7" spans="1:3" x14ac:dyDescent="0.3">
      <c r="A7" s="9" t="s">
        <v>63</v>
      </c>
      <c r="B7">
        <v>188160</v>
      </c>
      <c r="C7" s="10">
        <v>4.3894385666392872E-2</v>
      </c>
    </row>
    <row r="8" spans="1:3" x14ac:dyDescent="0.3">
      <c r="A8" s="9" t="s">
        <v>64</v>
      </c>
      <c r="B8">
        <v>36047</v>
      </c>
      <c r="C8" s="10">
        <v>8.4091247880339285E-3</v>
      </c>
    </row>
    <row r="9" spans="1:3" x14ac:dyDescent="0.3">
      <c r="A9" s="9" t="s">
        <v>66</v>
      </c>
      <c r="B9">
        <v>7295</v>
      </c>
      <c r="C9" s="10">
        <v>1.7017939170723639E-3</v>
      </c>
    </row>
    <row r="10" spans="1:3" x14ac:dyDescent="0.3">
      <c r="A10" s="9" t="s">
        <v>132</v>
      </c>
      <c r="B10">
        <v>167988</v>
      </c>
      <c r="C10" s="10">
        <v>3.9188616386724093E-2</v>
      </c>
    </row>
    <row r="11" spans="1:3" x14ac:dyDescent="0.3">
      <c r="A11" s="9" t="s">
        <v>67</v>
      </c>
      <c r="B11">
        <v>138705</v>
      </c>
      <c r="C11" s="10">
        <v>3.2357412648049658E-2</v>
      </c>
    </row>
    <row r="12" spans="1:3" x14ac:dyDescent="0.3">
      <c r="A12" s="9" t="s">
        <v>68</v>
      </c>
      <c r="B12">
        <v>190091</v>
      </c>
      <c r="C12" s="10">
        <v>4.4344853665552124E-2</v>
      </c>
    </row>
    <row r="13" spans="1:3" x14ac:dyDescent="0.3">
      <c r="A13" s="9" t="s">
        <v>69</v>
      </c>
      <c r="B13">
        <v>156236</v>
      </c>
      <c r="C13" s="10">
        <v>3.6447083540468522E-2</v>
      </c>
    </row>
    <row r="14" spans="1:3" x14ac:dyDescent="0.3">
      <c r="A14" s="9" t="s">
        <v>70</v>
      </c>
      <c r="B14">
        <v>122747</v>
      </c>
      <c r="C14" s="10">
        <v>2.8634694714034469E-2</v>
      </c>
    </row>
    <row r="15" spans="1:3" x14ac:dyDescent="0.3">
      <c r="A15" s="9" t="s">
        <v>71</v>
      </c>
      <c r="B15">
        <v>24750</v>
      </c>
      <c r="C15" s="10">
        <v>5.7737353594984244E-3</v>
      </c>
    </row>
    <row r="16" spans="1:3" x14ac:dyDescent="0.3">
      <c r="A16" s="9" t="s">
        <v>72</v>
      </c>
      <c r="B16">
        <v>4016</v>
      </c>
      <c r="C16" s="10">
        <v>9.368614627776029E-4</v>
      </c>
    </row>
    <row r="17" spans="1:3" x14ac:dyDescent="0.3">
      <c r="A17" s="9" t="s">
        <v>73</v>
      </c>
      <c r="B17">
        <v>8734</v>
      </c>
      <c r="C17" s="10">
        <v>2.0374870557518885E-3</v>
      </c>
    </row>
    <row r="18" spans="1:3" x14ac:dyDescent="0.3">
      <c r="A18" s="9" t="s">
        <v>74</v>
      </c>
      <c r="B18">
        <v>26180</v>
      </c>
      <c r="C18" s="10">
        <v>6.1073289580472227E-3</v>
      </c>
    </row>
    <row r="19" spans="1:3" x14ac:dyDescent="0.3">
      <c r="A19" s="9" t="s">
        <v>75</v>
      </c>
      <c r="B19">
        <v>172808</v>
      </c>
      <c r="C19" s="10">
        <v>4.0313036767846616E-2</v>
      </c>
    </row>
    <row r="20" spans="1:3" x14ac:dyDescent="0.3">
      <c r="A20" s="9" t="s">
        <v>76</v>
      </c>
      <c r="B20">
        <v>190855</v>
      </c>
      <c r="C20" s="10">
        <v>4.4523081294427141E-2</v>
      </c>
    </row>
    <row r="21" spans="1:3" x14ac:dyDescent="0.3">
      <c r="A21" s="9" t="s">
        <v>77</v>
      </c>
      <c r="B21">
        <v>40686</v>
      </c>
      <c r="C21" s="10">
        <v>9.4913210843051675E-3</v>
      </c>
    </row>
    <row r="22" spans="1:3" x14ac:dyDescent="0.3">
      <c r="A22" s="8" t="s">
        <v>12</v>
      </c>
      <c r="B22">
        <v>606133</v>
      </c>
      <c r="C22" s="10">
        <v>0.14140006200641853</v>
      </c>
    </row>
    <row r="23" spans="1:3" x14ac:dyDescent="0.3">
      <c r="A23" s="9" t="s">
        <v>13</v>
      </c>
      <c r="B23">
        <v>17664</v>
      </c>
      <c r="C23" s="10">
        <v>4.1206974299062699E-3</v>
      </c>
    </row>
    <row r="24" spans="1:3" x14ac:dyDescent="0.3">
      <c r="A24" s="9" t="s">
        <v>49</v>
      </c>
      <c r="B24">
        <v>55138</v>
      </c>
      <c r="C24" s="10">
        <v>1.2862715969778752E-2</v>
      </c>
    </row>
    <row r="25" spans="1:3" x14ac:dyDescent="0.3">
      <c r="A25" s="9" t="s">
        <v>14</v>
      </c>
      <c r="B25">
        <v>186919</v>
      </c>
      <c r="C25" s="10">
        <v>4.3604882410589331E-2</v>
      </c>
    </row>
    <row r="26" spans="1:3" x14ac:dyDescent="0.3">
      <c r="A26" s="9" t="s">
        <v>15</v>
      </c>
      <c r="B26">
        <v>84368</v>
      </c>
      <c r="C26" s="10">
        <v>1.9681555749905578E-2</v>
      </c>
    </row>
    <row r="27" spans="1:3" x14ac:dyDescent="0.3">
      <c r="A27" s="9" t="s">
        <v>124</v>
      </c>
      <c r="B27">
        <v>64020</v>
      </c>
      <c r="C27" s="10">
        <v>1.4934728796569258E-2</v>
      </c>
    </row>
    <row r="28" spans="1:3" x14ac:dyDescent="0.3">
      <c r="A28" s="9" t="s">
        <v>16</v>
      </c>
      <c r="B28">
        <v>60762</v>
      </c>
      <c r="C28" s="10">
        <v>1.4174695269246192E-2</v>
      </c>
    </row>
    <row r="29" spans="1:3" x14ac:dyDescent="0.3">
      <c r="A29" s="9" t="s">
        <v>42</v>
      </c>
      <c r="B29">
        <v>528</v>
      </c>
      <c r="C29" s="10">
        <v>1.2317302100263306E-4</v>
      </c>
    </row>
    <row r="30" spans="1:3" x14ac:dyDescent="0.3">
      <c r="A30" s="9" t="s">
        <v>19</v>
      </c>
      <c r="B30">
        <v>259</v>
      </c>
      <c r="C30" s="10">
        <v>6.0420099317579471E-5</v>
      </c>
    </row>
    <row r="31" spans="1:3" x14ac:dyDescent="0.3">
      <c r="A31" s="9" t="s">
        <v>20</v>
      </c>
      <c r="B31">
        <v>1543</v>
      </c>
      <c r="C31" s="10">
        <v>3.5995449130125532E-4</v>
      </c>
    </row>
    <row r="32" spans="1:3" x14ac:dyDescent="0.3">
      <c r="A32" s="9" t="s">
        <v>21</v>
      </c>
      <c r="B32">
        <v>117819</v>
      </c>
      <c r="C32" s="10">
        <v>2.7485079851343228E-2</v>
      </c>
    </row>
    <row r="33" spans="1:3" x14ac:dyDescent="0.3">
      <c r="A33" s="9" t="s">
        <v>22</v>
      </c>
      <c r="B33">
        <v>17113</v>
      </c>
      <c r="C33" s="10">
        <v>3.992158917458446E-3</v>
      </c>
    </row>
    <row r="34" spans="1:3" x14ac:dyDescent="0.3">
      <c r="A34" s="8" t="s">
        <v>97</v>
      </c>
      <c r="B34">
        <v>562899</v>
      </c>
      <c r="C34" s="10">
        <v>0.13131433778288096</v>
      </c>
    </row>
    <row r="35" spans="1:3" x14ac:dyDescent="0.3">
      <c r="A35" s="9" t="s">
        <v>98</v>
      </c>
      <c r="B35">
        <v>45380</v>
      </c>
      <c r="C35" s="10">
        <v>1.0586347903597516E-2</v>
      </c>
    </row>
    <row r="36" spans="1:3" x14ac:dyDescent="0.3">
      <c r="A36" s="9" t="s">
        <v>99</v>
      </c>
      <c r="B36">
        <v>23664</v>
      </c>
      <c r="C36" s="10">
        <v>5.5203908503907361E-3</v>
      </c>
    </row>
    <row r="37" spans="1:3" x14ac:dyDescent="0.3">
      <c r="A37" s="9" t="s">
        <v>100</v>
      </c>
      <c r="B37">
        <v>22071</v>
      </c>
      <c r="C37" s="10">
        <v>5.1487722472521105E-3</v>
      </c>
    </row>
    <row r="38" spans="1:3" x14ac:dyDescent="0.3">
      <c r="A38" s="9" t="s">
        <v>101</v>
      </c>
      <c r="B38">
        <v>161611</v>
      </c>
      <c r="C38" s="10">
        <v>3.7700975562985857E-2</v>
      </c>
    </row>
    <row r="39" spans="1:3" x14ac:dyDescent="0.3">
      <c r="A39" s="9" t="s">
        <v>102</v>
      </c>
      <c r="B39">
        <v>202031</v>
      </c>
      <c r="C39" s="10">
        <v>4.7130243572316211E-2</v>
      </c>
    </row>
    <row r="40" spans="1:3" x14ac:dyDescent="0.3">
      <c r="A40" s="9" t="s">
        <v>103</v>
      </c>
      <c r="B40">
        <v>23113</v>
      </c>
      <c r="C40" s="10">
        <v>5.3918523379429123E-3</v>
      </c>
    </row>
    <row r="41" spans="1:3" x14ac:dyDescent="0.3">
      <c r="A41" s="9" t="s">
        <v>104</v>
      </c>
      <c r="B41">
        <v>67337</v>
      </c>
      <c r="C41" s="10">
        <v>1.5708525975860421E-2</v>
      </c>
    </row>
    <row r="42" spans="1:3" x14ac:dyDescent="0.3">
      <c r="A42" s="9" t="s">
        <v>105</v>
      </c>
      <c r="B42">
        <v>17692</v>
      </c>
      <c r="C42" s="10">
        <v>4.1272293325351969E-3</v>
      </c>
    </row>
    <row r="43" spans="1:3" x14ac:dyDescent="0.3">
      <c r="A43" s="8" t="s">
        <v>51</v>
      </c>
      <c r="B43">
        <v>528460</v>
      </c>
      <c r="C43" s="10">
        <v>0.12328033083153686</v>
      </c>
    </row>
    <row r="44" spans="1:3" x14ac:dyDescent="0.3">
      <c r="A44" s="9" t="s">
        <v>52</v>
      </c>
      <c r="B44">
        <v>99771</v>
      </c>
      <c r="C44" s="10">
        <v>2.3274802042525952E-2</v>
      </c>
    </row>
    <row r="45" spans="1:3" x14ac:dyDescent="0.3">
      <c r="A45" s="9" t="s">
        <v>53</v>
      </c>
      <c r="B45">
        <v>273</v>
      </c>
      <c r="C45" s="10">
        <v>6.3686050632043222E-5</v>
      </c>
    </row>
    <row r="46" spans="1:3" x14ac:dyDescent="0.3">
      <c r="A46" s="9" t="s">
        <v>54</v>
      </c>
      <c r="B46">
        <v>166364</v>
      </c>
      <c r="C46" s="10">
        <v>3.8809766034246296E-2</v>
      </c>
    </row>
    <row r="47" spans="1:3" x14ac:dyDescent="0.3">
      <c r="A47" s="9" t="s">
        <v>55</v>
      </c>
      <c r="B47">
        <v>77013</v>
      </c>
      <c r="C47" s="10">
        <v>1.7965764898628372E-2</v>
      </c>
    </row>
    <row r="48" spans="1:3" x14ac:dyDescent="0.3">
      <c r="A48" s="9" t="s">
        <v>56</v>
      </c>
      <c r="B48">
        <v>85828</v>
      </c>
      <c r="C48" s="10">
        <v>2.00221478155568E-2</v>
      </c>
    </row>
    <row r="49" spans="1:3" x14ac:dyDescent="0.3">
      <c r="A49" s="9" t="s">
        <v>57</v>
      </c>
      <c r="B49">
        <v>8484</v>
      </c>
      <c r="C49" s="10">
        <v>1.9791664965650357E-3</v>
      </c>
    </row>
    <row r="50" spans="1:3" x14ac:dyDescent="0.3">
      <c r="A50" s="9" t="s">
        <v>58</v>
      </c>
      <c r="B50">
        <v>90727</v>
      </c>
      <c r="C50" s="10">
        <v>2.1164997493382368E-2</v>
      </c>
    </row>
    <row r="51" spans="1:3" x14ac:dyDescent="0.3">
      <c r="A51" s="8" t="s">
        <v>106</v>
      </c>
      <c r="B51">
        <v>300159</v>
      </c>
      <c r="C51" s="10">
        <v>7.0021762899866169E-2</v>
      </c>
    </row>
    <row r="52" spans="1:3" x14ac:dyDescent="0.3">
      <c r="A52" s="9" t="s">
        <v>107</v>
      </c>
      <c r="B52">
        <v>1999</v>
      </c>
      <c r="C52" s="10">
        <v>4.6633119125807476E-4</v>
      </c>
    </row>
    <row r="53" spans="1:3" x14ac:dyDescent="0.3">
      <c r="A53" s="9" t="s">
        <v>108</v>
      </c>
      <c r="B53">
        <v>33597</v>
      </c>
      <c r="C53" s="10">
        <v>7.8375833080027713E-3</v>
      </c>
    </row>
    <row r="54" spans="1:3" x14ac:dyDescent="0.3">
      <c r="A54" s="9" t="s">
        <v>109</v>
      </c>
      <c r="B54">
        <v>49927</v>
      </c>
      <c r="C54" s="10">
        <v>1.1647082234087993E-2</v>
      </c>
    </row>
    <row r="55" spans="1:3" x14ac:dyDescent="0.3">
      <c r="A55" s="9" t="s">
        <v>110</v>
      </c>
      <c r="B55">
        <v>2902</v>
      </c>
      <c r="C55" s="10">
        <v>6.7698505104098704E-4</v>
      </c>
    </row>
    <row r="56" spans="1:3" x14ac:dyDescent="0.3">
      <c r="A56" s="9" t="s">
        <v>112</v>
      </c>
      <c r="B56">
        <v>62956</v>
      </c>
      <c r="C56" s="10">
        <v>1.4686516496670013E-2</v>
      </c>
    </row>
    <row r="57" spans="1:3" x14ac:dyDescent="0.3">
      <c r="A57" s="9" t="s">
        <v>113</v>
      </c>
      <c r="B57">
        <v>106900</v>
      </c>
      <c r="C57" s="10">
        <v>2.4937871108298246E-2</v>
      </c>
    </row>
    <row r="58" spans="1:3" x14ac:dyDescent="0.3">
      <c r="A58" s="9" t="s">
        <v>114</v>
      </c>
      <c r="B58">
        <v>0</v>
      </c>
      <c r="C58" s="10">
        <v>0</v>
      </c>
    </row>
    <row r="59" spans="1:3" x14ac:dyDescent="0.3">
      <c r="A59" s="9" t="s">
        <v>115</v>
      </c>
      <c r="B59">
        <v>18099</v>
      </c>
      <c r="C59" s="10">
        <v>4.2221752028913937E-3</v>
      </c>
    </row>
    <row r="60" spans="1:3" x14ac:dyDescent="0.3">
      <c r="A60" s="9" t="s">
        <v>117</v>
      </c>
      <c r="B60">
        <v>22836</v>
      </c>
      <c r="C60" s="10">
        <v>5.32723315836388E-3</v>
      </c>
    </row>
    <row r="61" spans="1:3" x14ac:dyDescent="0.3">
      <c r="A61" s="9" t="s">
        <v>118</v>
      </c>
      <c r="B61">
        <v>943</v>
      </c>
      <c r="C61" s="10">
        <v>2.1998514925280867E-4</v>
      </c>
    </row>
    <row r="62" spans="1:3" x14ac:dyDescent="0.3">
      <c r="A62" s="8" t="s">
        <v>26</v>
      </c>
      <c r="B62">
        <v>245000</v>
      </c>
      <c r="C62" s="10">
        <v>5.7154148003115718E-2</v>
      </c>
    </row>
    <row r="63" spans="1:3" x14ac:dyDescent="0.3">
      <c r="A63" s="9" t="s">
        <v>27</v>
      </c>
      <c r="B63">
        <v>63674</v>
      </c>
      <c r="C63" s="10">
        <v>1.4854013142654655E-2</v>
      </c>
    </row>
    <row r="64" spans="1:3" x14ac:dyDescent="0.3">
      <c r="A64" s="9" t="s">
        <v>28</v>
      </c>
      <c r="B64">
        <v>599</v>
      </c>
      <c r="C64" s="10">
        <v>1.3973605981169925E-4</v>
      </c>
    </row>
    <row r="65" spans="1:3" x14ac:dyDescent="0.3">
      <c r="A65" s="9" t="s">
        <v>30</v>
      </c>
      <c r="B65">
        <v>292</v>
      </c>
      <c r="C65" s="10">
        <v>6.8118413130244045E-5</v>
      </c>
    </row>
    <row r="66" spans="1:3" x14ac:dyDescent="0.3">
      <c r="A66" s="9" t="s">
        <v>31</v>
      </c>
      <c r="B66">
        <v>73745</v>
      </c>
      <c r="C66" s="10">
        <v>1.7203398548937831E-2</v>
      </c>
    </row>
    <row r="67" spans="1:3" x14ac:dyDescent="0.3">
      <c r="A67" s="9" t="s">
        <v>32</v>
      </c>
      <c r="B67">
        <v>106690</v>
      </c>
      <c r="C67" s="10">
        <v>2.4888881838581289E-2</v>
      </c>
    </row>
    <row r="68" spans="1:3" x14ac:dyDescent="0.3">
      <c r="A68" s="8" t="s">
        <v>6</v>
      </c>
      <c r="B68">
        <v>69872</v>
      </c>
      <c r="C68" s="10">
        <v>1.6299896446015108E-2</v>
      </c>
    </row>
    <row r="69" spans="1:3" x14ac:dyDescent="0.3">
      <c r="A69" s="9" t="s">
        <v>7</v>
      </c>
      <c r="B69">
        <v>30690</v>
      </c>
      <c r="C69" s="10">
        <v>7.1594318457780465E-3</v>
      </c>
    </row>
    <row r="70" spans="1:3" x14ac:dyDescent="0.3">
      <c r="A70" s="9" t="s">
        <v>8</v>
      </c>
      <c r="B70">
        <v>11526</v>
      </c>
      <c r="C70" s="10">
        <v>2.6888110607506603E-3</v>
      </c>
    </row>
    <row r="71" spans="1:3" x14ac:dyDescent="0.3">
      <c r="A71" s="9" t="s">
        <v>11</v>
      </c>
      <c r="B71">
        <v>27656</v>
      </c>
      <c r="C71" s="10">
        <v>6.4516535394864008E-3</v>
      </c>
    </row>
    <row r="72" spans="1:3" x14ac:dyDescent="0.3">
      <c r="A72" s="8" t="s">
        <v>78</v>
      </c>
      <c r="B72">
        <v>61214</v>
      </c>
      <c r="C72" s="10">
        <v>1.4280138840256022E-2</v>
      </c>
    </row>
    <row r="73" spans="1:3" x14ac:dyDescent="0.3">
      <c r="A73" s="9" t="s">
        <v>79</v>
      </c>
      <c r="B73">
        <v>10865</v>
      </c>
      <c r="C73" s="10">
        <v>2.5346115022606215E-3</v>
      </c>
    </row>
    <row r="74" spans="1:3" x14ac:dyDescent="0.3">
      <c r="A74" s="9" t="s">
        <v>80</v>
      </c>
      <c r="B74">
        <v>11812</v>
      </c>
      <c r="C74" s="10">
        <v>2.7555297804604199E-3</v>
      </c>
    </row>
    <row r="75" spans="1:3" x14ac:dyDescent="0.3">
      <c r="A75" s="9" t="s">
        <v>81</v>
      </c>
      <c r="B75">
        <v>1870</v>
      </c>
      <c r="C75" s="10">
        <v>4.3623778271765872E-4</v>
      </c>
    </row>
    <row r="76" spans="1:3" x14ac:dyDescent="0.3">
      <c r="A76" s="9" t="s">
        <v>82</v>
      </c>
      <c r="B76">
        <v>19639</v>
      </c>
      <c r="C76" s="10">
        <v>4.581429847482406E-3</v>
      </c>
    </row>
    <row r="77" spans="1:3" x14ac:dyDescent="0.3">
      <c r="A77" s="9" t="s">
        <v>83</v>
      </c>
      <c r="B77">
        <v>10045</v>
      </c>
      <c r="C77" s="10">
        <v>2.3433200681277446E-3</v>
      </c>
    </row>
    <row r="78" spans="1:3" x14ac:dyDescent="0.3">
      <c r="A78" s="9" t="s">
        <v>84</v>
      </c>
      <c r="B78">
        <v>6983</v>
      </c>
      <c r="C78" s="10">
        <v>1.6290098592071716E-3</v>
      </c>
    </row>
    <row r="79" spans="1:3" x14ac:dyDescent="0.3">
      <c r="A79" s="8" t="s">
        <v>119</v>
      </c>
      <c r="B79">
        <v>42053</v>
      </c>
      <c r="C79" s="10">
        <v>9.810217901938879E-3</v>
      </c>
    </row>
    <row r="80" spans="1:3" x14ac:dyDescent="0.3">
      <c r="A80" s="9" t="s">
        <v>120</v>
      </c>
      <c r="B80">
        <v>19650</v>
      </c>
      <c r="C80" s="10">
        <v>4.5839959520866278E-3</v>
      </c>
    </row>
    <row r="81" spans="1:3" x14ac:dyDescent="0.3">
      <c r="A81" s="9" t="s">
        <v>121</v>
      </c>
      <c r="B81">
        <v>1193</v>
      </c>
      <c r="C81" s="10">
        <v>2.7830570843966144E-4</v>
      </c>
    </row>
    <row r="82" spans="1:3" x14ac:dyDescent="0.3">
      <c r="A82" s="9" t="s">
        <v>122</v>
      </c>
      <c r="B82">
        <v>21210</v>
      </c>
      <c r="C82" s="10">
        <v>4.9479162414125897E-3</v>
      </c>
    </row>
    <row r="83" spans="1:3" x14ac:dyDescent="0.3">
      <c r="A83" s="8" t="s">
        <v>88</v>
      </c>
      <c r="B83">
        <v>41729</v>
      </c>
      <c r="C83" s="10">
        <v>9.7346344572327177E-3</v>
      </c>
    </row>
    <row r="84" spans="1:3" x14ac:dyDescent="0.3">
      <c r="A84" s="9" t="s">
        <v>89</v>
      </c>
      <c r="B84">
        <v>11000</v>
      </c>
      <c r="C84" s="10">
        <v>2.5661046042215218E-3</v>
      </c>
    </row>
    <row r="85" spans="1:3" x14ac:dyDescent="0.3">
      <c r="A85" s="9" t="s">
        <v>90</v>
      </c>
      <c r="B85">
        <v>8705</v>
      </c>
      <c r="C85" s="10">
        <v>2.0307218708862135E-3</v>
      </c>
    </row>
    <row r="86" spans="1:3" x14ac:dyDescent="0.3">
      <c r="A86" s="9" t="s">
        <v>91</v>
      </c>
      <c r="B86">
        <v>22024</v>
      </c>
      <c r="C86" s="10">
        <v>5.1378079821249815E-3</v>
      </c>
    </row>
    <row r="87" spans="1:3" x14ac:dyDescent="0.3">
      <c r="A87" s="8" t="s">
        <v>92</v>
      </c>
      <c r="B87">
        <v>35157</v>
      </c>
      <c r="C87" s="10">
        <v>8.2015035973287322E-3</v>
      </c>
    </row>
    <row r="88" spans="1:3" x14ac:dyDescent="0.3">
      <c r="A88" s="9" t="s">
        <v>93</v>
      </c>
      <c r="B88">
        <v>1907</v>
      </c>
      <c r="C88" s="10">
        <v>4.4486922547731295E-4</v>
      </c>
    </row>
    <row r="89" spans="1:3" x14ac:dyDescent="0.3">
      <c r="A89" s="9" t="s">
        <v>94</v>
      </c>
      <c r="B89">
        <v>17567</v>
      </c>
      <c r="C89" s="10">
        <v>4.0980690529417709E-3</v>
      </c>
    </row>
    <row r="90" spans="1:3" x14ac:dyDescent="0.3">
      <c r="A90" s="9" t="s">
        <v>95</v>
      </c>
      <c r="B90">
        <v>15617</v>
      </c>
      <c r="C90" s="10">
        <v>3.6431686912843189E-3</v>
      </c>
    </row>
    <row r="91" spans="1:3" x14ac:dyDescent="0.3">
      <c r="A91" s="9" t="s">
        <v>96</v>
      </c>
      <c r="B91">
        <v>66</v>
      </c>
      <c r="C91" s="10">
        <v>1.5396627625329132E-5</v>
      </c>
    </row>
    <row r="92" spans="1:3" x14ac:dyDescent="0.3">
      <c r="A92" s="8" t="s">
        <v>85</v>
      </c>
      <c r="B92">
        <v>29009</v>
      </c>
      <c r="C92" s="10">
        <v>6.7672844058056488E-3</v>
      </c>
    </row>
    <row r="93" spans="1:3" x14ac:dyDescent="0.3">
      <c r="A93" s="9" t="s">
        <v>86</v>
      </c>
      <c r="B93">
        <v>28987</v>
      </c>
      <c r="C93" s="10">
        <v>6.7621521965972051E-3</v>
      </c>
    </row>
    <row r="94" spans="1:3" x14ac:dyDescent="0.3">
      <c r="A94" s="9" t="s">
        <v>87</v>
      </c>
      <c r="B94">
        <v>22</v>
      </c>
      <c r="C94" s="10">
        <v>5.1322092084430441E-6</v>
      </c>
    </row>
    <row r="95" spans="1:3" x14ac:dyDescent="0.3">
      <c r="A95" s="8" t="s">
        <v>1</v>
      </c>
      <c r="B95">
        <v>7448</v>
      </c>
      <c r="C95" s="10">
        <v>1.7374860992947177E-3</v>
      </c>
    </row>
    <row r="96" spans="1:3" x14ac:dyDescent="0.3">
      <c r="A96" s="9" t="s">
        <v>3</v>
      </c>
      <c r="B96">
        <v>1470</v>
      </c>
      <c r="C96" s="10">
        <v>3.4292488801869432E-4</v>
      </c>
    </row>
    <row r="97" spans="1:3" x14ac:dyDescent="0.3">
      <c r="A97" s="9" t="s">
        <v>48</v>
      </c>
      <c r="B97">
        <v>1267</v>
      </c>
      <c r="C97" s="10">
        <v>2.9556859395896986E-4</v>
      </c>
    </row>
    <row r="98" spans="1:3" x14ac:dyDescent="0.3">
      <c r="A98" s="9" t="s">
        <v>2</v>
      </c>
      <c r="B98">
        <v>2890</v>
      </c>
      <c r="C98" s="10">
        <v>6.7418566420001801E-4</v>
      </c>
    </row>
    <row r="99" spans="1:3" x14ac:dyDescent="0.3">
      <c r="A99" s="9" t="s">
        <v>4</v>
      </c>
      <c r="B99">
        <v>9</v>
      </c>
      <c r="C99" s="10">
        <v>2.0995401307266997E-6</v>
      </c>
    </row>
    <row r="100" spans="1:3" x14ac:dyDescent="0.3">
      <c r="A100" s="9" t="s">
        <v>5</v>
      </c>
      <c r="B100">
        <v>1812</v>
      </c>
      <c r="C100" s="10">
        <v>4.2270741298630892E-4</v>
      </c>
    </row>
    <row r="101" spans="1:3" x14ac:dyDescent="0.3">
      <c r="A101" s="8" t="s">
        <v>23</v>
      </c>
      <c r="B101">
        <v>4206</v>
      </c>
      <c r="C101" s="10">
        <v>9.8118508775961108E-4</v>
      </c>
    </row>
    <row r="102" spans="1:3" x14ac:dyDescent="0.3">
      <c r="A102" s="9" t="s">
        <v>24</v>
      </c>
      <c r="B102">
        <v>2988</v>
      </c>
      <c r="C102" s="10">
        <v>6.9704732340126433E-4</v>
      </c>
    </row>
    <row r="103" spans="1:3" x14ac:dyDescent="0.3">
      <c r="A103" s="9" t="s">
        <v>25</v>
      </c>
      <c r="B103">
        <v>1218</v>
      </c>
      <c r="C103" s="10">
        <v>2.841377643583467E-4</v>
      </c>
    </row>
    <row r="104" spans="1:3" x14ac:dyDescent="0.3">
      <c r="A104" s="9" t="s">
        <v>33</v>
      </c>
      <c r="B104">
        <v>0</v>
      </c>
      <c r="C104" s="10">
        <v>0</v>
      </c>
    </row>
    <row r="105" spans="1:3" x14ac:dyDescent="0.3">
      <c r="A105" s="8" t="s">
        <v>136</v>
      </c>
      <c r="B105">
        <v>4286653</v>
      </c>
      <c r="C105" s="10">
        <v>1</v>
      </c>
    </row>
  </sheetData>
  <mergeCells count="1">
    <mergeCell ref="A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5F0C-E46F-486B-AB46-08FCA5CCCEC1}">
  <dimension ref="A1:G11"/>
  <sheetViews>
    <sheetView tabSelected="1" workbookViewId="0">
      <selection activeCell="F15" sqref="F15"/>
    </sheetView>
  </sheetViews>
  <sheetFormatPr defaultRowHeight="14.4" x14ac:dyDescent="0.3"/>
  <cols>
    <col min="1" max="1" width="17.5546875" customWidth="1"/>
    <col min="2" max="2" width="21.44140625" customWidth="1"/>
    <col min="3" max="3" width="20.44140625" customWidth="1"/>
    <col min="4" max="4" width="16.21875" customWidth="1"/>
    <col min="5" max="5" width="16.5546875" customWidth="1"/>
    <col min="6" max="7" width="16.6640625" customWidth="1"/>
  </cols>
  <sheetData>
    <row r="1" spans="1:7" x14ac:dyDescent="0.3">
      <c r="A1" s="14" t="s">
        <v>170</v>
      </c>
      <c r="B1" s="14"/>
      <c r="C1" s="14"/>
      <c r="D1" s="14"/>
      <c r="E1" s="14"/>
      <c r="F1" s="14"/>
    </row>
    <row r="2" spans="1:7" x14ac:dyDescent="0.3">
      <c r="A2" t="s">
        <v>164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</row>
    <row r="3" spans="1:7" x14ac:dyDescent="0.3">
      <c r="A3">
        <v>-7692.18</v>
      </c>
      <c r="B3">
        <v>496.74</v>
      </c>
      <c r="C3">
        <v>0.19</v>
      </c>
      <c r="D3">
        <v>357824</v>
      </c>
      <c r="E3">
        <v>362550</v>
      </c>
      <c r="F3">
        <v>368270</v>
      </c>
    </row>
    <row r="5" spans="1:7" x14ac:dyDescent="0.3">
      <c r="A5" s="14" t="s">
        <v>171</v>
      </c>
      <c r="B5" s="14"/>
      <c r="C5" s="14"/>
      <c r="D5" s="14"/>
      <c r="E5" s="14"/>
      <c r="F5" s="14"/>
      <c r="G5" s="14"/>
    </row>
    <row r="6" spans="1:7" x14ac:dyDescent="0.3">
      <c r="A6" t="s">
        <v>139</v>
      </c>
      <c r="B6" t="s">
        <v>164</v>
      </c>
      <c r="C6" t="s">
        <v>165</v>
      </c>
      <c r="D6" t="s">
        <v>166</v>
      </c>
      <c r="E6" t="s">
        <v>167</v>
      </c>
      <c r="F6" t="s">
        <v>168</v>
      </c>
      <c r="G6" t="s">
        <v>169</v>
      </c>
    </row>
    <row r="7" spans="1:7" x14ac:dyDescent="0.3">
      <c r="A7" t="s">
        <v>59</v>
      </c>
      <c r="B7">
        <v>-5479.81</v>
      </c>
      <c r="C7">
        <v>346.73</v>
      </c>
      <c r="D7">
        <v>0.42</v>
      </c>
      <c r="E7">
        <v>145817</v>
      </c>
      <c r="F7">
        <v>149005</v>
      </c>
      <c r="G7">
        <v>152887</v>
      </c>
    </row>
    <row r="8" spans="1:7" x14ac:dyDescent="0.3">
      <c r="A8" t="s">
        <v>12</v>
      </c>
      <c r="B8">
        <v>-480</v>
      </c>
      <c r="C8">
        <v>-8.0399999999999991</v>
      </c>
      <c r="D8">
        <v>0.3</v>
      </c>
      <c r="E8">
        <v>46572</v>
      </c>
      <c r="F8">
        <v>45891</v>
      </c>
      <c r="G8">
        <v>45194</v>
      </c>
    </row>
    <row r="9" spans="1:7" x14ac:dyDescent="0.3">
      <c r="A9" t="s">
        <v>97</v>
      </c>
      <c r="B9">
        <v>-2576.9499999999998</v>
      </c>
      <c r="C9">
        <v>171.9</v>
      </c>
      <c r="D9">
        <v>0.77</v>
      </c>
      <c r="E9">
        <v>47663</v>
      </c>
      <c r="F9">
        <v>49383</v>
      </c>
      <c r="G9">
        <v>51448</v>
      </c>
    </row>
    <row r="10" spans="1:7" x14ac:dyDescent="0.3">
      <c r="A10" t="s">
        <v>51</v>
      </c>
      <c r="B10">
        <v>505.33</v>
      </c>
      <c r="C10">
        <v>6.66</v>
      </c>
      <c r="D10">
        <v>0.22</v>
      </c>
      <c r="E10">
        <v>48001</v>
      </c>
      <c r="F10">
        <v>48673</v>
      </c>
      <c r="G10">
        <v>49358</v>
      </c>
    </row>
    <row r="11" spans="1:7" x14ac:dyDescent="0.3">
      <c r="A11" t="s">
        <v>106</v>
      </c>
      <c r="B11">
        <v>1094.8699999999999</v>
      </c>
      <c r="C11">
        <v>-67.790000000000006</v>
      </c>
      <c r="D11">
        <v>0.26</v>
      </c>
      <c r="E11">
        <v>25226</v>
      </c>
      <c r="F11">
        <v>24626</v>
      </c>
      <c r="G11">
        <v>23891</v>
      </c>
    </row>
  </sheetData>
  <mergeCells count="2">
    <mergeCell ref="A1:F1"/>
    <mergeCell ref="A5:G5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60E3-C25D-4EDD-B7B5-77CF518B2835}">
  <dimension ref="A1:D169"/>
  <sheetViews>
    <sheetView workbookViewId="0">
      <selection activeCell="F15" sqref="F15"/>
    </sheetView>
  </sheetViews>
  <sheetFormatPr defaultRowHeight="14.4" x14ac:dyDescent="0.3"/>
  <cols>
    <col min="2" max="2" width="14.44140625" customWidth="1"/>
    <col min="3" max="3" width="11.109375" customWidth="1"/>
    <col min="4" max="4" width="17.21875" customWidth="1"/>
  </cols>
  <sheetData>
    <row r="1" spans="1:4" x14ac:dyDescent="0.3">
      <c r="A1" t="s">
        <v>139</v>
      </c>
      <c r="B1" t="s">
        <v>140</v>
      </c>
      <c r="C1" t="s">
        <v>141</v>
      </c>
      <c r="D1" t="s">
        <v>142</v>
      </c>
    </row>
    <row r="2" spans="1:4" x14ac:dyDescent="0.3">
      <c r="A2" t="s">
        <v>59</v>
      </c>
      <c r="B2" t="s">
        <v>143</v>
      </c>
      <c r="C2">
        <v>166802</v>
      </c>
      <c r="D2">
        <v>42.39</v>
      </c>
    </row>
    <row r="3" spans="1:4" x14ac:dyDescent="0.3">
      <c r="A3" t="s">
        <v>12</v>
      </c>
      <c r="B3" t="s">
        <v>143</v>
      </c>
      <c r="C3">
        <v>57115</v>
      </c>
      <c r="D3">
        <v>14.52</v>
      </c>
    </row>
    <row r="4" spans="1:4" x14ac:dyDescent="0.3">
      <c r="A4" t="s">
        <v>97</v>
      </c>
      <c r="B4" t="s">
        <v>143</v>
      </c>
      <c r="C4">
        <v>53635</v>
      </c>
      <c r="D4">
        <v>13.63</v>
      </c>
    </row>
    <row r="5" spans="1:4" x14ac:dyDescent="0.3">
      <c r="A5" t="s">
        <v>51</v>
      </c>
      <c r="B5" t="s">
        <v>143</v>
      </c>
      <c r="C5">
        <v>43068</v>
      </c>
      <c r="D5">
        <v>10.95</v>
      </c>
    </row>
    <row r="6" spans="1:4" x14ac:dyDescent="0.3">
      <c r="A6" t="s">
        <v>26</v>
      </c>
      <c r="B6" t="s">
        <v>143</v>
      </c>
      <c r="C6">
        <v>23769</v>
      </c>
      <c r="D6">
        <v>6.04</v>
      </c>
    </row>
    <row r="7" spans="1:4" x14ac:dyDescent="0.3">
      <c r="A7" t="s">
        <v>106</v>
      </c>
      <c r="B7" t="s">
        <v>143</v>
      </c>
      <c r="C7">
        <v>23197</v>
      </c>
      <c r="D7">
        <v>5.9</v>
      </c>
    </row>
    <row r="8" spans="1:4" x14ac:dyDescent="0.3">
      <c r="A8" t="s">
        <v>6</v>
      </c>
      <c r="B8" t="s">
        <v>143</v>
      </c>
      <c r="C8">
        <v>8681</v>
      </c>
      <c r="D8">
        <v>2.21</v>
      </c>
    </row>
    <row r="9" spans="1:4" x14ac:dyDescent="0.3">
      <c r="A9" t="s">
        <v>78</v>
      </c>
      <c r="B9" t="s">
        <v>143</v>
      </c>
      <c r="C9">
        <v>3825</v>
      </c>
      <c r="D9">
        <v>0.97</v>
      </c>
    </row>
    <row r="10" spans="1:4" x14ac:dyDescent="0.3">
      <c r="A10" t="s">
        <v>88</v>
      </c>
      <c r="B10" t="s">
        <v>143</v>
      </c>
      <c r="C10">
        <v>3826</v>
      </c>
      <c r="D10">
        <v>0.97</v>
      </c>
    </row>
    <row r="11" spans="1:4" x14ac:dyDescent="0.3">
      <c r="A11" t="s">
        <v>119</v>
      </c>
      <c r="B11" t="s">
        <v>143</v>
      </c>
      <c r="C11">
        <v>3267</v>
      </c>
      <c r="D11">
        <v>0.83</v>
      </c>
    </row>
    <row r="12" spans="1:4" x14ac:dyDescent="0.3">
      <c r="A12" t="s">
        <v>85</v>
      </c>
      <c r="B12" t="s">
        <v>143</v>
      </c>
      <c r="C12">
        <v>2863</v>
      </c>
      <c r="D12">
        <v>0.73</v>
      </c>
    </row>
    <row r="13" spans="1:4" x14ac:dyDescent="0.3">
      <c r="A13" t="s">
        <v>92</v>
      </c>
      <c r="B13" t="s">
        <v>143</v>
      </c>
      <c r="C13">
        <v>2377</v>
      </c>
      <c r="D13">
        <v>0.6</v>
      </c>
    </row>
    <row r="14" spans="1:4" x14ac:dyDescent="0.3">
      <c r="A14" t="s">
        <v>1</v>
      </c>
      <c r="B14" t="s">
        <v>143</v>
      </c>
      <c r="C14">
        <v>650</v>
      </c>
      <c r="D14">
        <v>0.17</v>
      </c>
    </row>
    <row r="15" spans="1:4" x14ac:dyDescent="0.3">
      <c r="A15" t="s">
        <v>23</v>
      </c>
      <c r="B15" t="s">
        <v>143</v>
      </c>
      <c r="C15">
        <v>396</v>
      </c>
      <c r="D15">
        <v>0.1</v>
      </c>
    </row>
    <row r="16" spans="1:4" x14ac:dyDescent="0.3">
      <c r="A16" t="s">
        <v>59</v>
      </c>
      <c r="B16" t="s">
        <v>144</v>
      </c>
      <c r="C16">
        <v>158373</v>
      </c>
      <c r="D16">
        <v>42.77</v>
      </c>
    </row>
    <row r="17" spans="1:4" x14ac:dyDescent="0.3">
      <c r="A17" t="s">
        <v>97</v>
      </c>
      <c r="B17" t="s">
        <v>144</v>
      </c>
      <c r="C17">
        <v>51270</v>
      </c>
      <c r="D17">
        <v>13.85</v>
      </c>
    </row>
    <row r="18" spans="1:4" x14ac:dyDescent="0.3">
      <c r="A18" t="s">
        <v>12</v>
      </c>
      <c r="B18" t="s">
        <v>144</v>
      </c>
      <c r="C18">
        <v>50201</v>
      </c>
      <c r="D18">
        <v>13.56</v>
      </c>
    </row>
    <row r="19" spans="1:4" x14ac:dyDescent="0.3">
      <c r="A19" t="s">
        <v>51</v>
      </c>
      <c r="B19" t="s">
        <v>144</v>
      </c>
      <c r="C19">
        <v>42401</v>
      </c>
      <c r="D19">
        <v>11.45</v>
      </c>
    </row>
    <row r="20" spans="1:4" x14ac:dyDescent="0.3">
      <c r="A20" t="s">
        <v>106</v>
      </c>
      <c r="B20" t="s">
        <v>144</v>
      </c>
      <c r="C20">
        <v>23300</v>
      </c>
      <c r="D20">
        <v>6.29</v>
      </c>
    </row>
    <row r="21" spans="1:4" x14ac:dyDescent="0.3">
      <c r="A21" t="s">
        <v>26</v>
      </c>
      <c r="B21" t="s">
        <v>144</v>
      </c>
      <c r="C21">
        <v>20200</v>
      </c>
      <c r="D21">
        <v>5.46</v>
      </c>
    </row>
    <row r="22" spans="1:4" x14ac:dyDescent="0.3">
      <c r="A22" t="s">
        <v>6</v>
      </c>
      <c r="B22" t="s">
        <v>144</v>
      </c>
      <c r="C22">
        <v>7142</v>
      </c>
      <c r="D22">
        <v>1.93</v>
      </c>
    </row>
    <row r="23" spans="1:4" x14ac:dyDescent="0.3">
      <c r="A23" t="s">
        <v>78</v>
      </c>
      <c r="B23" t="s">
        <v>144</v>
      </c>
      <c r="C23">
        <v>4532</v>
      </c>
      <c r="D23">
        <v>1.22</v>
      </c>
    </row>
    <row r="24" spans="1:4" x14ac:dyDescent="0.3">
      <c r="A24" t="s">
        <v>88</v>
      </c>
      <c r="B24" t="s">
        <v>144</v>
      </c>
      <c r="C24">
        <v>4080</v>
      </c>
      <c r="D24">
        <v>1.1000000000000001</v>
      </c>
    </row>
    <row r="25" spans="1:4" x14ac:dyDescent="0.3">
      <c r="A25" t="s">
        <v>119</v>
      </c>
      <c r="B25" t="s">
        <v>144</v>
      </c>
      <c r="C25">
        <v>3019</v>
      </c>
      <c r="D25">
        <v>0.82</v>
      </c>
    </row>
    <row r="26" spans="1:4" x14ac:dyDescent="0.3">
      <c r="A26" t="s">
        <v>85</v>
      </c>
      <c r="B26" t="s">
        <v>144</v>
      </c>
      <c r="C26">
        <v>2755</v>
      </c>
      <c r="D26">
        <v>0.74</v>
      </c>
    </row>
    <row r="27" spans="1:4" x14ac:dyDescent="0.3">
      <c r="A27" t="s">
        <v>92</v>
      </c>
      <c r="B27" t="s">
        <v>144</v>
      </c>
      <c r="C27">
        <v>2254</v>
      </c>
      <c r="D27">
        <v>0.61</v>
      </c>
    </row>
    <row r="28" spans="1:4" x14ac:dyDescent="0.3">
      <c r="A28" t="s">
        <v>1</v>
      </c>
      <c r="B28" t="s">
        <v>144</v>
      </c>
      <c r="C28">
        <v>421</v>
      </c>
      <c r="D28">
        <v>0.11</v>
      </c>
    </row>
    <row r="29" spans="1:4" x14ac:dyDescent="0.3">
      <c r="A29" t="s">
        <v>23</v>
      </c>
      <c r="B29" t="s">
        <v>144</v>
      </c>
      <c r="C29">
        <v>331</v>
      </c>
      <c r="D29">
        <v>0.09</v>
      </c>
    </row>
    <row r="30" spans="1:4" x14ac:dyDescent="0.3">
      <c r="A30" t="s">
        <v>59</v>
      </c>
      <c r="B30" t="s">
        <v>145</v>
      </c>
      <c r="C30">
        <v>152718</v>
      </c>
      <c r="D30">
        <v>41.34</v>
      </c>
    </row>
    <row r="31" spans="1:4" x14ac:dyDescent="0.3">
      <c r="A31" t="s">
        <v>12</v>
      </c>
      <c r="B31" t="s">
        <v>145</v>
      </c>
      <c r="C31">
        <v>53001</v>
      </c>
      <c r="D31">
        <v>14.35</v>
      </c>
    </row>
    <row r="32" spans="1:4" x14ac:dyDescent="0.3">
      <c r="A32" t="s">
        <v>97</v>
      </c>
      <c r="B32" t="s">
        <v>145</v>
      </c>
      <c r="C32">
        <v>50105</v>
      </c>
      <c r="D32">
        <v>13.56</v>
      </c>
    </row>
    <row r="33" spans="1:4" x14ac:dyDescent="0.3">
      <c r="A33" t="s">
        <v>51</v>
      </c>
      <c r="B33" t="s">
        <v>145</v>
      </c>
      <c r="C33">
        <v>40631</v>
      </c>
      <c r="D33">
        <v>11</v>
      </c>
    </row>
    <row r="34" spans="1:4" x14ac:dyDescent="0.3">
      <c r="A34" t="s">
        <v>106</v>
      </c>
      <c r="B34" t="s">
        <v>145</v>
      </c>
      <c r="C34">
        <v>25119</v>
      </c>
      <c r="D34">
        <v>6.8</v>
      </c>
    </row>
    <row r="35" spans="1:4" x14ac:dyDescent="0.3">
      <c r="A35" t="s">
        <v>26</v>
      </c>
      <c r="B35" t="s">
        <v>145</v>
      </c>
      <c r="C35">
        <v>21400</v>
      </c>
      <c r="D35">
        <v>5.79</v>
      </c>
    </row>
    <row r="36" spans="1:4" x14ac:dyDescent="0.3">
      <c r="A36" t="s">
        <v>6</v>
      </c>
      <c r="B36" t="s">
        <v>145</v>
      </c>
      <c r="C36">
        <v>7071</v>
      </c>
      <c r="D36">
        <v>1.91</v>
      </c>
    </row>
    <row r="37" spans="1:4" x14ac:dyDescent="0.3">
      <c r="A37" t="s">
        <v>78</v>
      </c>
      <c r="B37" t="s">
        <v>145</v>
      </c>
      <c r="C37">
        <v>4648</v>
      </c>
      <c r="D37">
        <v>1.26</v>
      </c>
    </row>
    <row r="38" spans="1:4" x14ac:dyDescent="0.3">
      <c r="A38" t="s">
        <v>88</v>
      </c>
      <c r="B38" t="s">
        <v>145</v>
      </c>
      <c r="C38">
        <v>4225</v>
      </c>
      <c r="D38">
        <v>1.1399999999999999</v>
      </c>
    </row>
    <row r="39" spans="1:4" x14ac:dyDescent="0.3">
      <c r="A39" t="s">
        <v>119</v>
      </c>
      <c r="B39" t="s">
        <v>145</v>
      </c>
      <c r="C39">
        <v>3529</v>
      </c>
      <c r="D39">
        <v>0.96</v>
      </c>
    </row>
    <row r="40" spans="1:4" x14ac:dyDescent="0.3">
      <c r="A40" t="s">
        <v>92</v>
      </c>
      <c r="B40" t="s">
        <v>145</v>
      </c>
      <c r="C40">
        <v>2802</v>
      </c>
      <c r="D40">
        <v>0.76</v>
      </c>
    </row>
    <row r="41" spans="1:4" x14ac:dyDescent="0.3">
      <c r="A41" t="s">
        <v>85</v>
      </c>
      <c r="B41" t="s">
        <v>145</v>
      </c>
      <c r="C41">
        <v>2701</v>
      </c>
      <c r="D41">
        <v>0.73</v>
      </c>
    </row>
    <row r="42" spans="1:4" x14ac:dyDescent="0.3">
      <c r="A42" t="s">
        <v>1</v>
      </c>
      <c r="B42" t="s">
        <v>145</v>
      </c>
      <c r="C42">
        <v>1006</v>
      </c>
      <c r="D42">
        <v>0.27</v>
      </c>
    </row>
    <row r="43" spans="1:4" x14ac:dyDescent="0.3">
      <c r="A43" t="s">
        <v>23</v>
      </c>
      <c r="B43" t="s">
        <v>145</v>
      </c>
      <c r="C43">
        <v>425</v>
      </c>
      <c r="D43">
        <v>0.12</v>
      </c>
    </row>
    <row r="44" spans="1:4" x14ac:dyDescent="0.3">
      <c r="A44" t="s">
        <v>59</v>
      </c>
      <c r="B44" t="s">
        <v>146</v>
      </c>
      <c r="C44">
        <v>137952</v>
      </c>
      <c r="D44">
        <v>40.840000000000003</v>
      </c>
    </row>
    <row r="45" spans="1:4" x14ac:dyDescent="0.3">
      <c r="A45" t="s">
        <v>12</v>
      </c>
      <c r="B45" t="s">
        <v>146</v>
      </c>
      <c r="C45">
        <v>50901</v>
      </c>
      <c r="D45">
        <v>15.07</v>
      </c>
    </row>
    <row r="46" spans="1:4" x14ac:dyDescent="0.3">
      <c r="A46" t="s">
        <v>97</v>
      </c>
      <c r="B46" t="s">
        <v>146</v>
      </c>
      <c r="C46">
        <v>47885</v>
      </c>
      <c r="D46">
        <v>14.18</v>
      </c>
    </row>
    <row r="47" spans="1:4" x14ac:dyDescent="0.3">
      <c r="A47" t="s">
        <v>51</v>
      </c>
      <c r="B47" t="s">
        <v>146</v>
      </c>
      <c r="C47">
        <v>41008</v>
      </c>
      <c r="D47">
        <v>12.14</v>
      </c>
    </row>
    <row r="48" spans="1:4" x14ac:dyDescent="0.3">
      <c r="A48" t="s">
        <v>26</v>
      </c>
      <c r="B48" t="s">
        <v>146</v>
      </c>
      <c r="C48">
        <v>19968</v>
      </c>
      <c r="D48">
        <v>5.91</v>
      </c>
    </row>
    <row r="49" spans="1:4" x14ac:dyDescent="0.3">
      <c r="A49" t="s">
        <v>106</v>
      </c>
      <c r="B49" t="s">
        <v>146</v>
      </c>
      <c r="C49">
        <v>18700</v>
      </c>
      <c r="D49">
        <v>5.54</v>
      </c>
    </row>
    <row r="50" spans="1:4" x14ac:dyDescent="0.3">
      <c r="A50" t="s">
        <v>78</v>
      </c>
      <c r="B50" t="s">
        <v>146</v>
      </c>
      <c r="C50">
        <v>4485</v>
      </c>
      <c r="D50">
        <v>1.33</v>
      </c>
    </row>
    <row r="51" spans="1:4" x14ac:dyDescent="0.3">
      <c r="A51" t="s">
        <v>6</v>
      </c>
      <c r="B51" t="s">
        <v>146</v>
      </c>
      <c r="C51">
        <v>4351</v>
      </c>
      <c r="D51">
        <v>1.29</v>
      </c>
    </row>
    <row r="52" spans="1:4" x14ac:dyDescent="0.3">
      <c r="A52" t="s">
        <v>88</v>
      </c>
      <c r="B52" t="s">
        <v>146</v>
      </c>
      <c r="C52">
        <v>3707</v>
      </c>
      <c r="D52">
        <v>1.1000000000000001</v>
      </c>
    </row>
    <row r="53" spans="1:4" x14ac:dyDescent="0.3">
      <c r="A53" t="s">
        <v>119</v>
      </c>
      <c r="B53" t="s">
        <v>146</v>
      </c>
      <c r="C53">
        <v>3049</v>
      </c>
      <c r="D53">
        <v>0.9</v>
      </c>
    </row>
    <row r="54" spans="1:4" x14ac:dyDescent="0.3">
      <c r="A54" t="s">
        <v>92</v>
      </c>
      <c r="B54" t="s">
        <v>146</v>
      </c>
      <c r="C54">
        <v>2579</v>
      </c>
      <c r="D54">
        <v>0.76</v>
      </c>
    </row>
    <row r="55" spans="1:4" x14ac:dyDescent="0.3">
      <c r="A55" t="s">
        <v>85</v>
      </c>
      <c r="B55" t="s">
        <v>146</v>
      </c>
      <c r="C55">
        <v>2404</v>
      </c>
      <c r="D55">
        <v>0.71</v>
      </c>
    </row>
    <row r="56" spans="1:4" x14ac:dyDescent="0.3">
      <c r="A56" t="s">
        <v>1</v>
      </c>
      <c r="B56" t="s">
        <v>146</v>
      </c>
      <c r="C56">
        <v>404</v>
      </c>
      <c r="D56">
        <v>0.12</v>
      </c>
    </row>
    <row r="57" spans="1:4" x14ac:dyDescent="0.3">
      <c r="A57" t="s">
        <v>23</v>
      </c>
      <c r="B57" t="s">
        <v>146</v>
      </c>
      <c r="C57">
        <v>377</v>
      </c>
      <c r="D57">
        <v>0.11</v>
      </c>
    </row>
    <row r="58" spans="1:4" x14ac:dyDescent="0.3">
      <c r="A58" t="s">
        <v>59</v>
      </c>
      <c r="B58" t="s">
        <v>147</v>
      </c>
      <c r="C58">
        <v>144002</v>
      </c>
      <c r="D58">
        <v>41.25</v>
      </c>
    </row>
    <row r="59" spans="1:4" x14ac:dyDescent="0.3">
      <c r="A59" t="s">
        <v>12</v>
      </c>
      <c r="B59" t="s">
        <v>147</v>
      </c>
      <c r="C59">
        <v>49151</v>
      </c>
      <c r="D59">
        <v>14.08</v>
      </c>
    </row>
    <row r="60" spans="1:4" x14ac:dyDescent="0.3">
      <c r="A60" t="s">
        <v>97</v>
      </c>
      <c r="B60" t="s">
        <v>147</v>
      </c>
      <c r="C60">
        <v>46700</v>
      </c>
      <c r="D60">
        <v>13.38</v>
      </c>
    </row>
    <row r="61" spans="1:4" x14ac:dyDescent="0.3">
      <c r="A61" t="s">
        <v>51</v>
      </c>
      <c r="B61" t="s">
        <v>147</v>
      </c>
      <c r="C61">
        <v>43218</v>
      </c>
      <c r="D61">
        <v>12.38</v>
      </c>
    </row>
    <row r="62" spans="1:4" x14ac:dyDescent="0.3">
      <c r="A62" t="s">
        <v>106</v>
      </c>
      <c r="B62" t="s">
        <v>147</v>
      </c>
      <c r="C62">
        <v>23959</v>
      </c>
      <c r="D62">
        <v>6.86</v>
      </c>
    </row>
    <row r="63" spans="1:4" x14ac:dyDescent="0.3">
      <c r="A63" t="s">
        <v>26</v>
      </c>
      <c r="B63" t="s">
        <v>147</v>
      </c>
      <c r="C63">
        <v>19500</v>
      </c>
      <c r="D63">
        <v>5.59</v>
      </c>
    </row>
    <row r="64" spans="1:4" x14ac:dyDescent="0.3">
      <c r="A64" t="s">
        <v>6</v>
      </c>
      <c r="B64" t="s">
        <v>147</v>
      </c>
      <c r="C64">
        <v>4822</v>
      </c>
      <c r="D64">
        <v>1.38</v>
      </c>
    </row>
    <row r="65" spans="1:4" x14ac:dyDescent="0.3">
      <c r="A65" t="s">
        <v>78</v>
      </c>
      <c r="B65" t="s">
        <v>147</v>
      </c>
      <c r="C65">
        <v>4769</v>
      </c>
      <c r="D65">
        <v>1.37</v>
      </c>
    </row>
    <row r="66" spans="1:4" x14ac:dyDescent="0.3">
      <c r="A66" t="s">
        <v>88</v>
      </c>
      <c r="B66" t="s">
        <v>147</v>
      </c>
      <c r="C66">
        <v>3709</v>
      </c>
      <c r="D66">
        <v>1.06</v>
      </c>
    </row>
    <row r="67" spans="1:4" x14ac:dyDescent="0.3">
      <c r="A67" t="s">
        <v>119</v>
      </c>
      <c r="B67" t="s">
        <v>147</v>
      </c>
      <c r="C67">
        <v>3273</v>
      </c>
      <c r="D67">
        <v>0.94</v>
      </c>
    </row>
    <row r="68" spans="1:4" x14ac:dyDescent="0.3">
      <c r="A68" t="s">
        <v>92</v>
      </c>
      <c r="B68" t="s">
        <v>147</v>
      </c>
      <c r="C68">
        <v>2884</v>
      </c>
      <c r="D68">
        <v>0.83</v>
      </c>
    </row>
    <row r="69" spans="1:4" x14ac:dyDescent="0.3">
      <c r="A69" t="s">
        <v>85</v>
      </c>
      <c r="B69" t="s">
        <v>147</v>
      </c>
      <c r="C69">
        <v>2211</v>
      </c>
      <c r="D69">
        <v>0.63</v>
      </c>
    </row>
    <row r="70" spans="1:4" x14ac:dyDescent="0.3">
      <c r="A70" t="s">
        <v>1</v>
      </c>
      <c r="B70" t="s">
        <v>147</v>
      </c>
      <c r="C70">
        <v>515</v>
      </c>
      <c r="D70">
        <v>0.15</v>
      </c>
    </row>
    <row r="71" spans="1:4" x14ac:dyDescent="0.3">
      <c r="A71" t="s">
        <v>23</v>
      </c>
      <c r="B71" t="s">
        <v>147</v>
      </c>
      <c r="C71">
        <v>344</v>
      </c>
      <c r="D71">
        <v>0.1</v>
      </c>
    </row>
    <row r="72" spans="1:4" x14ac:dyDescent="0.3">
      <c r="A72" t="s">
        <v>59</v>
      </c>
      <c r="B72" t="s">
        <v>148</v>
      </c>
      <c r="C72">
        <v>137160</v>
      </c>
      <c r="D72">
        <v>40.36</v>
      </c>
    </row>
    <row r="73" spans="1:4" x14ac:dyDescent="0.3">
      <c r="A73" t="s">
        <v>12</v>
      </c>
      <c r="B73" t="s">
        <v>148</v>
      </c>
      <c r="C73">
        <v>50103</v>
      </c>
      <c r="D73">
        <v>14.74</v>
      </c>
    </row>
    <row r="74" spans="1:4" x14ac:dyDescent="0.3">
      <c r="A74" t="s">
        <v>97</v>
      </c>
      <c r="B74" t="s">
        <v>148</v>
      </c>
      <c r="C74">
        <v>43953</v>
      </c>
      <c r="D74">
        <v>12.93</v>
      </c>
    </row>
    <row r="75" spans="1:4" x14ac:dyDescent="0.3">
      <c r="A75" t="s">
        <v>51</v>
      </c>
      <c r="B75" t="s">
        <v>148</v>
      </c>
      <c r="C75">
        <v>40022</v>
      </c>
      <c r="D75">
        <v>11.78</v>
      </c>
    </row>
    <row r="76" spans="1:4" x14ac:dyDescent="0.3">
      <c r="A76" t="s">
        <v>106</v>
      </c>
      <c r="B76" t="s">
        <v>148</v>
      </c>
      <c r="C76">
        <v>25752</v>
      </c>
      <c r="D76">
        <v>7.58</v>
      </c>
    </row>
    <row r="77" spans="1:4" x14ac:dyDescent="0.3">
      <c r="A77" t="s">
        <v>26</v>
      </c>
      <c r="B77" t="s">
        <v>148</v>
      </c>
      <c r="C77">
        <v>21300</v>
      </c>
      <c r="D77">
        <v>6.27</v>
      </c>
    </row>
    <row r="78" spans="1:4" x14ac:dyDescent="0.3">
      <c r="A78" t="s">
        <v>6</v>
      </c>
      <c r="B78" t="s">
        <v>148</v>
      </c>
      <c r="C78">
        <v>4804</v>
      </c>
      <c r="D78">
        <v>1.41</v>
      </c>
    </row>
    <row r="79" spans="1:4" x14ac:dyDescent="0.3">
      <c r="A79" t="s">
        <v>78</v>
      </c>
      <c r="B79" t="s">
        <v>148</v>
      </c>
      <c r="C79">
        <v>4644</v>
      </c>
      <c r="D79">
        <v>1.37</v>
      </c>
    </row>
    <row r="80" spans="1:4" x14ac:dyDescent="0.3">
      <c r="A80" t="s">
        <v>88</v>
      </c>
      <c r="B80" t="s">
        <v>148</v>
      </c>
      <c r="C80">
        <v>3553</v>
      </c>
      <c r="D80">
        <v>1.05</v>
      </c>
    </row>
    <row r="81" spans="1:4" x14ac:dyDescent="0.3">
      <c r="A81" t="s">
        <v>119</v>
      </c>
      <c r="B81" t="s">
        <v>148</v>
      </c>
      <c r="C81">
        <v>3260</v>
      </c>
      <c r="D81">
        <v>0.96</v>
      </c>
    </row>
    <row r="82" spans="1:4" x14ac:dyDescent="0.3">
      <c r="A82" t="s">
        <v>92</v>
      </c>
      <c r="B82" t="s">
        <v>148</v>
      </c>
      <c r="C82">
        <v>2566</v>
      </c>
      <c r="D82">
        <v>0.76</v>
      </c>
    </row>
    <row r="83" spans="1:4" x14ac:dyDescent="0.3">
      <c r="A83" t="s">
        <v>85</v>
      </c>
      <c r="B83" t="s">
        <v>148</v>
      </c>
      <c r="C83">
        <v>2107</v>
      </c>
      <c r="D83">
        <v>0.62</v>
      </c>
    </row>
    <row r="84" spans="1:4" x14ac:dyDescent="0.3">
      <c r="A84" t="s">
        <v>1</v>
      </c>
      <c r="B84" t="s">
        <v>148</v>
      </c>
      <c r="C84">
        <v>339</v>
      </c>
      <c r="D84">
        <v>0.1</v>
      </c>
    </row>
    <row r="85" spans="1:4" x14ac:dyDescent="0.3">
      <c r="A85" t="s">
        <v>23</v>
      </c>
      <c r="B85" t="s">
        <v>148</v>
      </c>
      <c r="C85">
        <v>281</v>
      </c>
      <c r="D85">
        <v>0.08</v>
      </c>
    </row>
    <row r="86" spans="1:4" x14ac:dyDescent="0.3">
      <c r="A86" t="s">
        <v>59</v>
      </c>
      <c r="B86" t="s">
        <v>149</v>
      </c>
      <c r="C86">
        <v>137463</v>
      </c>
      <c r="D86">
        <v>40.07</v>
      </c>
    </row>
    <row r="87" spans="1:4" x14ac:dyDescent="0.3">
      <c r="A87" t="s">
        <v>12</v>
      </c>
      <c r="B87" t="s">
        <v>149</v>
      </c>
      <c r="C87">
        <v>49013</v>
      </c>
      <c r="D87">
        <v>14.29</v>
      </c>
    </row>
    <row r="88" spans="1:4" x14ac:dyDescent="0.3">
      <c r="A88" t="s">
        <v>97</v>
      </c>
      <c r="B88" t="s">
        <v>149</v>
      </c>
      <c r="C88">
        <v>44727</v>
      </c>
      <c r="D88">
        <v>13.04</v>
      </c>
    </row>
    <row r="89" spans="1:4" x14ac:dyDescent="0.3">
      <c r="A89" t="s">
        <v>51</v>
      </c>
      <c r="B89" t="s">
        <v>149</v>
      </c>
      <c r="C89">
        <v>41623</v>
      </c>
      <c r="D89">
        <v>12.13</v>
      </c>
    </row>
    <row r="90" spans="1:4" x14ac:dyDescent="0.3">
      <c r="A90" t="s">
        <v>106</v>
      </c>
      <c r="B90" t="s">
        <v>149</v>
      </c>
      <c r="C90">
        <v>29533</v>
      </c>
      <c r="D90">
        <v>8.61</v>
      </c>
    </row>
    <row r="91" spans="1:4" x14ac:dyDescent="0.3">
      <c r="A91" t="s">
        <v>26</v>
      </c>
      <c r="B91" t="s">
        <v>149</v>
      </c>
      <c r="C91">
        <v>20507</v>
      </c>
      <c r="D91">
        <v>5.98</v>
      </c>
    </row>
    <row r="92" spans="1:4" x14ac:dyDescent="0.3">
      <c r="A92" t="s">
        <v>6</v>
      </c>
      <c r="B92" t="s">
        <v>149</v>
      </c>
      <c r="C92">
        <v>4624</v>
      </c>
      <c r="D92">
        <v>1.35</v>
      </c>
    </row>
    <row r="93" spans="1:4" x14ac:dyDescent="0.3">
      <c r="A93" t="s">
        <v>78</v>
      </c>
      <c r="B93" t="s">
        <v>149</v>
      </c>
      <c r="C93">
        <v>4572</v>
      </c>
      <c r="D93">
        <v>1.33</v>
      </c>
    </row>
    <row r="94" spans="1:4" x14ac:dyDescent="0.3">
      <c r="A94" t="s">
        <v>119</v>
      </c>
      <c r="B94" t="s">
        <v>149</v>
      </c>
      <c r="C94">
        <v>3407</v>
      </c>
      <c r="D94">
        <v>0.99</v>
      </c>
    </row>
    <row r="95" spans="1:4" x14ac:dyDescent="0.3">
      <c r="A95" t="s">
        <v>88</v>
      </c>
      <c r="B95" t="s">
        <v>149</v>
      </c>
      <c r="C95">
        <v>2832</v>
      </c>
      <c r="D95">
        <v>0.83</v>
      </c>
    </row>
    <row r="96" spans="1:4" x14ac:dyDescent="0.3">
      <c r="A96" t="s">
        <v>92</v>
      </c>
      <c r="B96" t="s">
        <v>149</v>
      </c>
      <c r="C96">
        <v>2103</v>
      </c>
      <c r="D96">
        <v>0.61</v>
      </c>
    </row>
    <row r="97" spans="1:4" x14ac:dyDescent="0.3">
      <c r="A97" t="s">
        <v>85</v>
      </c>
      <c r="B97" t="s">
        <v>149</v>
      </c>
      <c r="C97">
        <v>2011</v>
      </c>
      <c r="D97">
        <v>0.59</v>
      </c>
    </row>
    <row r="98" spans="1:4" x14ac:dyDescent="0.3">
      <c r="A98" t="s">
        <v>1</v>
      </c>
      <c r="B98" t="s">
        <v>149</v>
      </c>
      <c r="C98">
        <v>335</v>
      </c>
      <c r="D98">
        <v>0.1</v>
      </c>
    </row>
    <row r="99" spans="1:4" x14ac:dyDescent="0.3">
      <c r="A99" t="s">
        <v>23</v>
      </c>
      <c r="B99" t="s">
        <v>149</v>
      </c>
      <c r="C99">
        <v>276</v>
      </c>
      <c r="D99">
        <v>0.08</v>
      </c>
    </row>
    <row r="100" spans="1:4" x14ac:dyDescent="0.3">
      <c r="A100" t="s">
        <v>59</v>
      </c>
      <c r="B100" t="s">
        <v>150</v>
      </c>
      <c r="C100">
        <v>143075</v>
      </c>
      <c r="D100">
        <v>40.39</v>
      </c>
    </row>
    <row r="101" spans="1:4" x14ac:dyDescent="0.3">
      <c r="A101" t="s">
        <v>12</v>
      </c>
      <c r="B101" t="s">
        <v>150</v>
      </c>
      <c r="C101">
        <v>49525</v>
      </c>
      <c r="D101">
        <v>13.98</v>
      </c>
    </row>
    <row r="102" spans="1:4" x14ac:dyDescent="0.3">
      <c r="A102" t="s">
        <v>97</v>
      </c>
      <c r="B102" t="s">
        <v>150</v>
      </c>
      <c r="C102">
        <v>44142</v>
      </c>
      <c r="D102">
        <v>12.46</v>
      </c>
    </row>
    <row r="103" spans="1:4" x14ac:dyDescent="0.3">
      <c r="A103" t="s">
        <v>51</v>
      </c>
      <c r="B103" t="s">
        <v>150</v>
      </c>
      <c r="C103">
        <v>43277</v>
      </c>
      <c r="D103">
        <v>12.22</v>
      </c>
    </row>
    <row r="104" spans="1:4" x14ac:dyDescent="0.3">
      <c r="A104" t="s">
        <v>106</v>
      </c>
      <c r="B104" t="s">
        <v>150</v>
      </c>
      <c r="C104">
        <v>28589</v>
      </c>
      <c r="D104">
        <v>8.07</v>
      </c>
    </row>
    <row r="105" spans="1:4" x14ac:dyDescent="0.3">
      <c r="A105" t="s">
        <v>26</v>
      </c>
      <c r="B105" t="s">
        <v>150</v>
      </c>
      <c r="C105">
        <v>22523</v>
      </c>
      <c r="D105">
        <v>6.36</v>
      </c>
    </row>
    <row r="106" spans="1:4" x14ac:dyDescent="0.3">
      <c r="A106" t="s">
        <v>6</v>
      </c>
      <c r="B106" t="s">
        <v>150</v>
      </c>
      <c r="C106">
        <v>5326</v>
      </c>
      <c r="D106">
        <v>1.5</v>
      </c>
    </row>
    <row r="107" spans="1:4" x14ac:dyDescent="0.3">
      <c r="A107" t="s">
        <v>78</v>
      </c>
      <c r="B107" t="s">
        <v>150</v>
      </c>
      <c r="C107">
        <v>4571</v>
      </c>
      <c r="D107">
        <v>1.29</v>
      </c>
    </row>
    <row r="108" spans="1:4" x14ac:dyDescent="0.3">
      <c r="A108" t="s">
        <v>119</v>
      </c>
      <c r="B108" t="s">
        <v>150</v>
      </c>
      <c r="C108">
        <v>3577</v>
      </c>
      <c r="D108">
        <v>1.01</v>
      </c>
    </row>
    <row r="109" spans="1:4" x14ac:dyDescent="0.3">
      <c r="A109" t="s">
        <v>88</v>
      </c>
      <c r="B109" t="s">
        <v>150</v>
      </c>
      <c r="C109">
        <v>3018</v>
      </c>
      <c r="D109">
        <v>0.85</v>
      </c>
    </row>
    <row r="110" spans="1:4" x14ac:dyDescent="0.3">
      <c r="A110" t="s">
        <v>92</v>
      </c>
      <c r="B110" t="s">
        <v>150</v>
      </c>
      <c r="C110">
        <v>2772</v>
      </c>
      <c r="D110">
        <v>0.78</v>
      </c>
    </row>
    <row r="111" spans="1:4" x14ac:dyDescent="0.3">
      <c r="A111" t="s">
        <v>85</v>
      </c>
      <c r="B111" t="s">
        <v>150</v>
      </c>
      <c r="C111">
        <v>2263</v>
      </c>
      <c r="D111">
        <v>0.64</v>
      </c>
    </row>
    <row r="112" spans="1:4" x14ac:dyDescent="0.3">
      <c r="A112" t="s">
        <v>1</v>
      </c>
      <c r="B112" t="s">
        <v>150</v>
      </c>
      <c r="C112">
        <v>1275</v>
      </c>
      <c r="D112">
        <v>0.36</v>
      </c>
    </row>
    <row r="113" spans="1:4" x14ac:dyDescent="0.3">
      <c r="A113" t="s">
        <v>23</v>
      </c>
      <c r="B113" t="s">
        <v>150</v>
      </c>
      <c r="C113">
        <v>340</v>
      </c>
      <c r="D113">
        <v>0.1</v>
      </c>
    </row>
    <row r="114" spans="1:4" x14ac:dyDescent="0.3">
      <c r="A114" t="s">
        <v>59</v>
      </c>
      <c r="B114" t="s">
        <v>151</v>
      </c>
      <c r="C114">
        <v>144962</v>
      </c>
      <c r="D114">
        <v>40.39</v>
      </c>
    </row>
    <row r="115" spans="1:4" x14ac:dyDescent="0.3">
      <c r="A115" t="s">
        <v>12</v>
      </c>
      <c r="B115" t="s">
        <v>151</v>
      </c>
      <c r="C115">
        <v>51101</v>
      </c>
      <c r="D115">
        <v>14.24</v>
      </c>
    </row>
    <row r="116" spans="1:4" x14ac:dyDescent="0.3">
      <c r="A116" t="s">
        <v>51</v>
      </c>
      <c r="B116" t="s">
        <v>151</v>
      </c>
      <c r="C116">
        <v>51062</v>
      </c>
      <c r="D116">
        <v>14.23</v>
      </c>
    </row>
    <row r="117" spans="1:4" x14ac:dyDescent="0.3">
      <c r="A117" t="s">
        <v>97</v>
      </c>
      <c r="B117" t="s">
        <v>151</v>
      </c>
      <c r="C117">
        <v>41065</v>
      </c>
      <c r="D117">
        <v>11.44</v>
      </c>
    </row>
    <row r="118" spans="1:4" x14ac:dyDescent="0.3">
      <c r="A118" t="s">
        <v>106</v>
      </c>
      <c r="B118" t="s">
        <v>151</v>
      </c>
      <c r="C118">
        <v>23802</v>
      </c>
      <c r="D118">
        <v>6.63</v>
      </c>
    </row>
    <row r="119" spans="1:4" x14ac:dyDescent="0.3">
      <c r="A119" t="s">
        <v>26</v>
      </c>
      <c r="B119" t="s">
        <v>151</v>
      </c>
      <c r="C119">
        <v>23523</v>
      </c>
      <c r="D119">
        <v>6.55</v>
      </c>
    </row>
    <row r="120" spans="1:4" x14ac:dyDescent="0.3">
      <c r="A120" t="s">
        <v>6</v>
      </c>
      <c r="B120" t="s">
        <v>151</v>
      </c>
      <c r="C120">
        <v>5675</v>
      </c>
      <c r="D120">
        <v>1.58</v>
      </c>
    </row>
    <row r="121" spans="1:4" x14ac:dyDescent="0.3">
      <c r="A121" t="s">
        <v>78</v>
      </c>
      <c r="B121" t="s">
        <v>151</v>
      </c>
      <c r="C121">
        <v>4588</v>
      </c>
      <c r="D121">
        <v>1.28</v>
      </c>
    </row>
    <row r="122" spans="1:4" x14ac:dyDescent="0.3">
      <c r="A122" t="s">
        <v>119</v>
      </c>
      <c r="B122" t="s">
        <v>151</v>
      </c>
      <c r="C122">
        <v>3394</v>
      </c>
      <c r="D122">
        <v>0.95</v>
      </c>
    </row>
    <row r="123" spans="1:4" x14ac:dyDescent="0.3">
      <c r="A123" t="s">
        <v>92</v>
      </c>
      <c r="B123" t="s">
        <v>151</v>
      </c>
      <c r="C123">
        <v>3301</v>
      </c>
      <c r="D123">
        <v>0.92</v>
      </c>
    </row>
    <row r="124" spans="1:4" x14ac:dyDescent="0.3">
      <c r="A124" t="s">
        <v>88</v>
      </c>
      <c r="B124" t="s">
        <v>151</v>
      </c>
      <c r="C124">
        <v>3217</v>
      </c>
      <c r="D124">
        <v>0.9</v>
      </c>
    </row>
    <row r="125" spans="1:4" x14ac:dyDescent="0.3">
      <c r="A125" t="s">
        <v>85</v>
      </c>
      <c r="B125" t="s">
        <v>151</v>
      </c>
      <c r="C125">
        <v>2113</v>
      </c>
      <c r="D125">
        <v>0.59</v>
      </c>
    </row>
    <row r="126" spans="1:4" x14ac:dyDescent="0.3">
      <c r="A126" t="s">
        <v>1</v>
      </c>
      <c r="B126" t="s">
        <v>151</v>
      </c>
      <c r="C126">
        <v>711</v>
      </c>
      <c r="D126">
        <v>0.2</v>
      </c>
    </row>
    <row r="127" spans="1:4" x14ac:dyDescent="0.3">
      <c r="A127" t="s">
        <v>23</v>
      </c>
      <c r="B127" t="s">
        <v>151</v>
      </c>
      <c r="C127">
        <v>365</v>
      </c>
      <c r="D127">
        <v>0.1</v>
      </c>
    </row>
    <row r="128" spans="1:4" x14ac:dyDescent="0.3">
      <c r="A128" t="s">
        <v>59</v>
      </c>
      <c r="B128" t="s">
        <v>152</v>
      </c>
      <c r="C128">
        <v>159591</v>
      </c>
      <c r="D128">
        <v>40.1</v>
      </c>
    </row>
    <row r="129" spans="1:4" x14ac:dyDescent="0.3">
      <c r="A129" t="s">
        <v>12</v>
      </c>
      <c r="B129" t="s">
        <v>152</v>
      </c>
      <c r="C129">
        <v>55568</v>
      </c>
      <c r="D129">
        <v>13.96</v>
      </c>
    </row>
    <row r="130" spans="1:4" x14ac:dyDescent="0.3">
      <c r="A130" t="s">
        <v>51</v>
      </c>
      <c r="B130" t="s">
        <v>152</v>
      </c>
      <c r="C130">
        <v>54504</v>
      </c>
      <c r="D130">
        <v>13.7</v>
      </c>
    </row>
    <row r="131" spans="1:4" x14ac:dyDescent="0.3">
      <c r="A131" t="s">
        <v>97</v>
      </c>
      <c r="B131" t="s">
        <v>152</v>
      </c>
      <c r="C131">
        <v>48133</v>
      </c>
      <c r="D131">
        <v>12.1</v>
      </c>
    </row>
    <row r="132" spans="1:4" x14ac:dyDescent="0.3">
      <c r="A132" t="s">
        <v>106</v>
      </c>
      <c r="B132" t="s">
        <v>152</v>
      </c>
      <c r="C132">
        <v>28138</v>
      </c>
      <c r="D132">
        <v>7.07</v>
      </c>
    </row>
    <row r="133" spans="1:4" x14ac:dyDescent="0.3">
      <c r="A133" t="s">
        <v>26</v>
      </c>
      <c r="B133" t="s">
        <v>152</v>
      </c>
      <c r="C133">
        <v>22753</v>
      </c>
      <c r="D133">
        <v>5.72</v>
      </c>
    </row>
    <row r="134" spans="1:4" x14ac:dyDescent="0.3">
      <c r="A134" t="s">
        <v>78</v>
      </c>
      <c r="B134" t="s">
        <v>152</v>
      </c>
      <c r="C134">
        <v>7045</v>
      </c>
      <c r="D134">
        <v>1.77</v>
      </c>
    </row>
    <row r="135" spans="1:4" x14ac:dyDescent="0.3">
      <c r="A135" t="s">
        <v>6</v>
      </c>
      <c r="B135" t="s">
        <v>152</v>
      </c>
      <c r="C135">
        <v>5546</v>
      </c>
      <c r="D135">
        <v>1.39</v>
      </c>
    </row>
    <row r="136" spans="1:4" x14ac:dyDescent="0.3">
      <c r="A136" t="s">
        <v>119</v>
      </c>
      <c r="B136" t="s">
        <v>152</v>
      </c>
      <c r="C136">
        <v>4458</v>
      </c>
      <c r="D136">
        <v>1.1200000000000001</v>
      </c>
    </row>
    <row r="137" spans="1:4" x14ac:dyDescent="0.3">
      <c r="A137" t="s">
        <v>92</v>
      </c>
      <c r="B137" t="s">
        <v>152</v>
      </c>
      <c r="C137">
        <v>4079</v>
      </c>
      <c r="D137">
        <v>1.03</v>
      </c>
    </row>
    <row r="138" spans="1:4" x14ac:dyDescent="0.3">
      <c r="A138" t="s">
        <v>88</v>
      </c>
      <c r="B138" t="s">
        <v>152</v>
      </c>
      <c r="C138">
        <v>3870</v>
      </c>
      <c r="D138">
        <v>0.97</v>
      </c>
    </row>
    <row r="139" spans="1:4" x14ac:dyDescent="0.3">
      <c r="A139" t="s">
        <v>85</v>
      </c>
      <c r="B139" t="s">
        <v>152</v>
      </c>
      <c r="C139">
        <v>3121</v>
      </c>
      <c r="D139">
        <v>0.78</v>
      </c>
    </row>
    <row r="140" spans="1:4" x14ac:dyDescent="0.3">
      <c r="A140" t="s">
        <v>1</v>
      </c>
      <c r="B140" t="s">
        <v>152</v>
      </c>
      <c r="C140">
        <v>717</v>
      </c>
      <c r="D140">
        <v>0.18</v>
      </c>
    </row>
    <row r="141" spans="1:4" x14ac:dyDescent="0.3">
      <c r="A141" t="s">
        <v>23</v>
      </c>
      <c r="B141" t="s">
        <v>152</v>
      </c>
      <c r="C141">
        <v>424</v>
      </c>
      <c r="D141">
        <v>0.11</v>
      </c>
    </row>
    <row r="142" spans="1:4" x14ac:dyDescent="0.3">
      <c r="A142" t="s">
        <v>59</v>
      </c>
      <c r="B142" t="s">
        <v>153</v>
      </c>
      <c r="C142">
        <v>141312</v>
      </c>
      <c r="D142">
        <v>40.19</v>
      </c>
    </row>
    <row r="143" spans="1:4" x14ac:dyDescent="0.3">
      <c r="A143" t="s">
        <v>12</v>
      </c>
      <c r="B143" t="s">
        <v>153</v>
      </c>
      <c r="C143">
        <v>48246</v>
      </c>
      <c r="D143">
        <v>13.72</v>
      </c>
    </row>
    <row r="144" spans="1:4" x14ac:dyDescent="0.3">
      <c r="A144" t="s">
        <v>97</v>
      </c>
      <c r="B144" t="s">
        <v>153</v>
      </c>
      <c r="C144">
        <v>47063</v>
      </c>
      <c r="D144">
        <v>13.39</v>
      </c>
    </row>
    <row r="145" spans="1:4" x14ac:dyDescent="0.3">
      <c r="A145" t="s">
        <v>51</v>
      </c>
      <c r="B145" t="s">
        <v>153</v>
      </c>
      <c r="C145">
        <v>46222</v>
      </c>
      <c r="D145">
        <v>13.15</v>
      </c>
    </row>
    <row r="146" spans="1:4" x14ac:dyDescent="0.3">
      <c r="A146" t="s">
        <v>106</v>
      </c>
      <c r="B146" t="s">
        <v>153</v>
      </c>
      <c r="C146">
        <v>25183</v>
      </c>
      <c r="D146">
        <v>7.16</v>
      </c>
    </row>
    <row r="147" spans="1:4" x14ac:dyDescent="0.3">
      <c r="A147" t="s">
        <v>26</v>
      </c>
      <c r="B147" t="s">
        <v>153</v>
      </c>
      <c r="C147">
        <v>20600</v>
      </c>
      <c r="D147">
        <v>5.86</v>
      </c>
    </row>
    <row r="148" spans="1:4" x14ac:dyDescent="0.3">
      <c r="A148" t="s">
        <v>78</v>
      </c>
      <c r="B148" t="s">
        <v>153</v>
      </c>
      <c r="C148">
        <v>6019</v>
      </c>
      <c r="D148">
        <v>1.71</v>
      </c>
    </row>
    <row r="149" spans="1:4" x14ac:dyDescent="0.3">
      <c r="A149" t="s">
        <v>6</v>
      </c>
      <c r="B149" t="s">
        <v>153</v>
      </c>
      <c r="C149">
        <v>5005</v>
      </c>
      <c r="D149">
        <v>1.42</v>
      </c>
    </row>
    <row r="150" spans="1:4" x14ac:dyDescent="0.3">
      <c r="A150" t="s">
        <v>119</v>
      </c>
      <c r="B150" t="s">
        <v>153</v>
      </c>
      <c r="C150">
        <v>3033</v>
      </c>
      <c r="D150">
        <v>0.86</v>
      </c>
    </row>
    <row r="151" spans="1:4" x14ac:dyDescent="0.3">
      <c r="A151" t="s">
        <v>92</v>
      </c>
      <c r="B151" t="s">
        <v>153</v>
      </c>
      <c r="C151">
        <v>2886</v>
      </c>
      <c r="D151">
        <v>0.82</v>
      </c>
    </row>
    <row r="152" spans="1:4" x14ac:dyDescent="0.3">
      <c r="A152" t="s">
        <v>88</v>
      </c>
      <c r="B152" t="s">
        <v>153</v>
      </c>
      <c r="C152">
        <v>2811</v>
      </c>
      <c r="D152">
        <v>0.8</v>
      </c>
    </row>
    <row r="153" spans="1:4" x14ac:dyDescent="0.3">
      <c r="A153" t="s">
        <v>85</v>
      </c>
      <c r="B153" t="s">
        <v>153</v>
      </c>
      <c r="C153">
        <v>2342</v>
      </c>
      <c r="D153">
        <v>0.67</v>
      </c>
    </row>
    <row r="154" spans="1:4" x14ac:dyDescent="0.3">
      <c r="A154" t="s">
        <v>1</v>
      </c>
      <c r="B154" t="s">
        <v>153</v>
      </c>
      <c r="C154">
        <v>509</v>
      </c>
      <c r="D154">
        <v>0.14000000000000001</v>
      </c>
    </row>
    <row r="155" spans="1:4" x14ac:dyDescent="0.3">
      <c r="A155" t="s">
        <v>23</v>
      </c>
      <c r="B155" t="s">
        <v>153</v>
      </c>
      <c r="C155">
        <v>361</v>
      </c>
      <c r="D155">
        <v>0.1</v>
      </c>
    </row>
    <row r="156" spans="1:4" x14ac:dyDescent="0.3">
      <c r="A156" t="s">
        <v>59</v>
      </c>
      <c r="B156" t="s">
        <v>154</v>
      </c>
      <c r="C156">
        <v>130115</v>
      </c>
      <c r="D156">
        <v>40.49</v>
      </c>
    </row>
    <row r="157" spans="1:4" x14ac:dyDescent="0.3">
      <c r="A157" t="s">
        <v>97</v>
      </c>
      <c r="B157" t="s">
        <v>154</v>
      </c>
      <c r="C157">
        <v>44221</v>
      </c>
      <c r="D157">
        <v>13.76</v>
      </c>
    </row>
    <row r="158" spans="1:4" x14ac:dyDescent="0.3">
      <c r="A158" t="s">
        <v>12</v>
      </c>
      <c r="B158" t="s">
        <v>154</v>
      </c>
      <c r="C158">
        <v>42208</v>
      </c>
      <c r="D158">
        <v>13.13</v>
      </c>
    </row>
    <row r="159" spans="1:4" x14ac:dyDescent="0.3">
      <c r="A159" t="s">
        <v>51</v>
      </c>
      <c r="B159" t="s">
        <v>154</v>
      </c>
      <c r="C159">
        <v>41424</v>
      </c>
      <c r="D159">
        <v>12.89</v>
      </c>
    </row>
    <row r="160" spans="1:4" x14ac:dyDescent="0.3">
      <c r="A160" t="s">
        <v>106</v>
      </c>
      <c r="B160" t="s">
        <v>154</v>
      </c>
      <c r="C160">
        <v>24887</v>
      </c>
      <c r="D160">
        <v>7.74</v>
      </c>
    </row>
    <row r="161" spans="1:4" x14ac:dyDescent="0.3">
      <c r="A161" t="s">
        <v>26</v>
      </c>
      <c r="B161" t="s">
        <v>154</v>
      </c>
      <c r="C161">
        <v>8957</v>
      </c>
      <c r="D161">
        <v>2.79</v>
      </c>
    </row>
    <row r="162" spans="1:4" x14ac:dyDescent="0.3">
      <c r="A162" t="s">
        <v>78</v>
      </c>
      <c r="B162" t="s">
        <v>154</v>
      </c>
      <c r="C162">
        <v>7516</v>
      </c>
      <c r="D162">
        <v>2.34</v>
      </c>
    </row>
    <row r="163" spans="1:4" x14ac:dyDescent="0.3">
      <c r="A163" t="s">
        <v>6</v>
      </c>
      <c r="B163" t="s">
        <v>154</v>
      </c>
      <c r="C163">
        <v>6825</v>
      </c>
      <c r="D163">
        <v>2.12</v>
      </c>
    </row>
    <row r="164" spans="1:4" x14ac:dyDescent="0.3">
      <c r="A164" t="s">
        <v>119</v>
      </c>
      <c r="B164" t="s">
        <v>154</v>
      </c>
      <c r="C164">
        <v>4787</v>
      </c>
      <c r="D164">
        <v>1.49</v>
      </c>
    </row>
    <row r="165" spans="1:4" x14ac:dyDescent="0.3">
      <c r="A165" t="s">
        <v>92</v>
      </c>
      <c r="B165" t="s">
        <v>154</v>
      </c>
      <c r="C165">
        <v>4554</v>
      </c>
      <c r="D165">
        <v>1.42</v>
      </c>
    </row>
    <row r="166" spans="1:4" x14ac:dyDescent="0.3">
      <c r="A166" t="s">
        <v>88</v>
      </c>
      <c r="B166" t="s">
        <v>154</v>
      </c>
      <c r="C166">
        <v>2881</v>
      </c>
      <c r="D166">
        <v>0.9</v>
      </c>
    </row>
    <row r="167" spans="1:4" x14ac:dyDescent="0.3">
      <c r="A167" t="s">
        <v>85</v>
      </c>
      <c r="B167" t="s">
        <v>154</v>
      </c>
      <c r="C167">
        <v>2118</v>
      </c>
      <c r="D167">
        <v>0.66</v>
      </c>
    </row>
    <row r="168" spans="1:4" x14ac:dyDescent="0.3">
      <c r="A168" t="s">
        <v>1</v>
      </c>
      <c r="B168" t="s">
        <v>154</v>
      </c>
      <c r="C168">
        <v>566</v>
      </c>
      <c r="D168">
        <v>0.18</v>
      </c>
    </row>
    <row r="169" spans="1:4" x14ac:dyDescent="0.3">
      <c r="A169" t="s">
        <v>23</v>
      </c>
      <c r="B169" t="s">
        <v>154</v>
      </c>
      <c r="C169">
        <v>286</v>
      </c>
      <c r="D169">
        <v>0.09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86BB-DC63-476F-B2AB-E0F06695F6B0}">
  <dimension ref="A1:E169"/>
  <sheetViews>
    <sheetView workbookViewId="0">
      <selection activeCell="G14" sqref="G14"/>
    </sheetView>
  </sheetViews>
  <sheetFormatPr defaultRowHeight="14.4" x14ac:dyDescent="0.3"/>
  <cols>
    <col min="2" max="2" width="14.44140625" customWidth="1"/>
    <col min="3" max="3" width="11.109375" customWidth="1"/>
    <col min="4" max="4" width="17.21875" customWidth="1"/>
    <col min="5" max="5" width="16.5546875" customWidth="1"/>
  </cols>
  <sheetData>
    <row r="1" spans="1:5" x14ac:dyDescent="0.3">
      <c r="A1" t="s">
        <v>139</v>
      </c>
      <c r="B1" t="s">
        <v>140</v>
      </c>
      <c r="C1" t="s">
        <v>141</v>
      </c>
      <c r="D1" t="s">
        <v>155</v>
      </c>
      <c r="E1" t="s">
        <v>156</v>
      </c>
    </row>
    <row r="2" spans="1:5" x14ac:dyDescent="0.3">
      <c r="A2" t="s">
        <v>1</v>
      </c>
      <c r="B2" t="s">
        <v>143</v>
      </c>
      <c r="C2">
        <v>650</v>
      </c>
      <c r="D2" t="s">
        <v>157</v>
      </c>
      <c r="E2" t="s">
        <v>157</v>
      </c>
    </row>
    <row r="3" spans="1:5" x14ac:dyDescent="0.3">
      <c r="A3" t="s">
        <v>1</v>
      </c>
      <c r="B3" t="s">
        <v>144</v>
      </c>
      <c r="C3">
        <v>421</v>
      </c>
      <c r="D3">
        <v>650</v>
      </c>
      <c r="E3">
        <v>-35.200000000000003</v>
      </c>
    </row>
    <row r="4" spans="1:5" x14ac:dyDescent="0.3">
      <c r="A4" t="s">
        <v>1</v>
      </c>
      <c r="B4" t="s">
        <v>145</v>
      </c>
      <c r="C4">
        <v>1006</v>
      </c>
      <c r="D4">
        <v>421</v>
      </c>
      <c r="E4">
        <v>139</v>
      </c>
    </row>
    <row r="5" spans="1:5" x14ac:dyDescent="0.3">
      <c r="A5" t="s">
        <v>1</v>
      </c>
      <c r="B5" t="s">
        <v>146</v>
      </c>
      <c r="C5">
        <v>404</v>
      </c>
      <c r="D5">
        <v>1006</v>
      </c>
      <c r="E5">
        <v>-59.8</v>
      </c>
    </row>
    <row r="6" spans="1:5" x14ac:dyDescent="0.3">
      <c r="A6" t="s">
        <v>1</v>
      </c>
      <c r="B6" t="s">
        <v>147</v>
      </c>
      <c r="C6">
        <v>515</v>
      </c>
      <c r="D6">
        <v>404</v>
      </c>
      <c r="E6">
        <v>27.5</v>
      </c>
    </row>
    <row r="7" spans="1:5" x14ac:dyDescent="0.3">
      <c r="A7" t="s">
        <v>1</v>
      </c>
      <c r="B7" t="s">
        <v>148</v>
      </c>
      <c r="C7">
        <v>339</v>
      </c>
      <c r="D7">
        <v>515</v>
      </c>
      <c r="E7">
        <v>-34.200000000000003</v>
      </c>
    </row>
    <row r="8" spans="1:5" x14ac:dyDescent="0.3">
      <c r="A8" t="s">
        <v>1</v>
      </c>
      <c r="B8" t="s">
        <v>149</v>
      </c>
      <c r="C8">
        <v>335</v>
      </c>
      <c r="D8">
        <v>339</v>
      </c>
      <c r="E8">
        <v>-1.2</v>
      </c>
    </row>
    <row r="9" spans="1:5" x14ac:dyDescent="0.3">
      <c r="A9" t="s">
        <v>1</v>
      </c>
      <c r="B9" t="s">
        <v>150</v>
      </c>
      <c r="C9">
        <v>1275</v>
      </c>
      <c r="D9">
        <v>335</v>
      </c>
      <c r="E9">
        <v>280.60000000000002</v>
      </c>
    </row>
    <row r="10" spans="1:5" x14ac:dyDescent="0.3">
      <c r="A10" t="s">
        <v>1</v>
      </c>
      <c r="B10" t="s">
        <v>151</v>
      </c>
      <c r="C10">
        <v>711</v>
      </c>
      <c r="D10">
        <v>1275</v>
      </c>
      <c r="E10">
        <v>-44.2</v>
      </c>
    </row>
    <row r="11" spans="1:5" x14ac:dyDescent="0.3">
      <c r="A11" t="s">
        <v>1</v>
      </c>
      <c r="B11" t="s">
        <v>152</v>
      </c>
      <c r="C11">
        <v>717</v>
      </c>
      <c r="D11">
        <v>711</v>
      </c>
      <c r="E11">
        <v>0.8</v>
      </c>
    </row>
    <row r="12" spans="1:5" x14ac:dyDescent="0.3">
      <c r="A12" t="s">
        <v>1</v>
      </c>
      <c r="B12" t="s">
        <v>153</v>
      </c>
      <c r="C12">
        <v>509</v>
      </c>
      <c r="D12">
        <v>717</v>
      </c>
      <c r="E12">
        <v>-29</v>
      </c>
    </row>
    <row r="13" spans="1:5" x14ac:dyDescent="0.3">
      <c r="A13" t="s">
        <v>1</v>
      </c>
      <c r="B13" t="s">
        <v>154</v>
      </c>
      <c r="C13">
        <v>566</v>
      </c>
      <c r="D13">
        <v>509</v>
      </c>
      <c r="E13">
        <v>11.2</v>
      </c>
    </row>
    <row r="14" spans="1:5" x14ac:dyDescent="0.3">
      <c r="A14" t="s">
        <v>6</v>
      </c>
      <c r="B14" t="s">
        <v>143</v>
      </c>
      <c r="C14">
        <v>8681</v>
      </c>
      <c r="D14" t="s">
        <v>157</v>
      </c>
      <c r="E14" t="s">
        <v>157</v>
      </c>
    </row>
    <row r="15" spans="1:5" x14ac:dyDescent="0.3">
      <c r="A15" t="s">
        <v>6</v>
      </c>
      <c r="B15" t="s">
        <v>144</v>
      </c>
      <c r="C15">
        <v>7142</v>
      </c>
      <c r="D15">
        <v>8681</v>
      </c>
      <c r="E15">
        <v>-17.7</v>
      </c>
    </row>
    <row r="16" spans="1:5" x14ac:dyDescent="0.3">
      <c r="A16" t="s">
        <v>6</v>
      </c>
      <c r="B16" t="s">
        <v>145</v>
      </c>
      <c r="C16">
        <v>7071</v>
      </c>
      <c r="D16">
        <v>7142</v>
      </c>
      <c r="E16">
        <v>-1</v>
      </c>
    </row>
    <row r="17" spans="1:5" x14ac:dyDescent="0.3">
      <c r="A17" t="s">
        <v>6</v>
      </c>
      <c r="B17" t="s">
        <v>146</v>
      </c>
      <c r="C17">
        <v>4351</v>
      </c>
      <c r="D17">
        <v>7071</v>
      </c>
      <c r="E17">
        <v>-38.5</v>
      </c>
    </row>
    <row r="18" spans="1:5" x14ac:dyDescent="0.3">
      <c r="A18" t="s">
        <v>6</v>
      </c>
      <c r="B18" t="s">
        <v>147</v>
      </c>
      <c r="C18">
        <v>4822</v>
      </c>
      <c r="D18">
        <v>4351</v>
      </c>
      <c r="E18">
        <v>10.8</v>
      </c>
    </row>
    <row r="19" spans="1:5" x14ac:dyDescent="0.3">
      <c r="A19" t="s">
        <v>6</v>
      </c>
      <c r="B19" t="s">
        <v>148</v>
      </c>
      <c r="C19">
        <v>4804</v>
      </c>
      <c r="D19">
        <v>4822</v>
      </c>
      <c r="E19">
        <v>-0.4</v>
      </c>
    </row>
    <row r="20" spans="1:5" x14ac:dyDescent="0.3">
      <c r="A20" t="s">
        <v>6</v>
      </c>
      <c r="B20" t="s">
        <v>149</v>
      </c>
      <c r="C20">
        <v>4624</v>
      </c>
      <c r="D20">
        <v>4804</v>
      </c>
      <c r="E20">
        <v>-3.7</v>
      </c>
    </row>
    <row r="21" spans="1:5" x14ac:dyDescent="0.3">
      <c r="A21" t="s">
        <v>6</v>
      </c>
      <c r="B21" t="s">
        <v>150</v>
      </c>
      <c r="C21">
        <v>5326</v>
      </c>
      <c r="D21">
        <v>4624</v>
      </c>
      <c r="E21">
        <v>15.2</v>
      </c>
    </row>
    <row r="22" spans="1:5" x14ac:dyDescent="0.3">
      <c r="A22" t="s">
        <v>6</v>
      </c>
      <c r="B22" t="s">
        <v>151</v>
      </c>
      <c r="C22">
        <v>5675</v>
      </c>
      <c r="D22">
        <v>5326</v>
      </c>
      <c r="E22">
        <v>6.6</v>
      </c>
    </row>
    <row r="23" spans="1:5" x14ac:dyDescent="0.3">
      <c r="A23" t="s">
        <v>6</v>
      </c>
      <c r="B23" t="s">
        <v>152</v>
      </c>
      <c r="C23">
        <v>5546</v>
      </c>
      <c r="D23">
        <v>5675</v>
      </c>
      <c r="E23">
        <v>-2.2999999999999998</v>
      </c>
    </row>
    <row r="24" spans="1:5" x14ac:dyDescent="0.3">
      <c r="A24" t="s">
        <v>6</v>
      </c>
      <c r="B24" t="s">
        <v>153</v>
      </c>
      <c r="C24">
        <v>5005</v>
      </c>
      <c r="D24">
        <v>5546</v>
      </c>
      <c r="E24">
        <v>-9.8000000000000007</v>
      </c>
    </row>
    <row r="25" spans="1:5" x14ac:dyDescent="0.3">
      <c r="A25" t="s">
        <v>6</v>
      </c>
      <c r="B25" t="s">
        <v>154</v>
      </c>
      <c r="C25">
        <v>6825</v>
      </c>
      <c r="D25">
        <v>5005</v>
      </c>
      <c r="E25">
        <v>36.4</v>
      </c>
    </row>
    <row r="26" spans="1:5" x14ac:dyDescent="0.3">
      <c r="A26" t="s">
        <v>12</v>
      </c>
      <c r="B26" t="s">
        <v>143</v>
      </c>
      <c r="C26">
        <v>57115</v>
      </c>
      <c r="D26" t="s">
        <v>157</v>
      </c>
      <c r="E26" t="s">
        <v>157</v>
      </c>
    </row>
    <row r="27" spans="1:5" x14ac:dyDescent="0.3">
      <c r="A27" t="s">
        <v>12</v>
      </c>
      <c r="B27" t="s">
        <v>144</v>
      </c>
      <c r="C27">
        <v>50201</v>
      </c>
      <c r="D27">
        <v>57115</v>
      </c>
      <c r="E27">
        <v>-12.1</v>
      </c>
    </row>
    <row r="28" spans="1:5" x14ac:dyDescent="0.3">
      <c r="A28" t="s">
        <v>12</v>
      </c>
      <c r="B28" t="s">
        <v>145</v>
      </c>
      <c r="C28">
        <v>53001</v>
      </c>
      <c r="D28">
        <v>50201</v>
      </c>
      <c r="E28">
        <v>5.6</v>
      </c>
    </row>
    <row r="29" spans="1:5" x14ac:dyDescent="0.3">
      <c r="A29" t="s">
        <v>12</v>
      </c>
      <c r="B29" t="s">
        <v>146</v>
      </c>
      <c r="C29">
        <v>50901</v>
      </c>
      <c r="D29">
        <v>53001</v>
      </c>
      <c r="E29">
        <v>-4</v>
      </c>
    </row>
    <row r="30" spans="1:5" x14ac:dyDescent="0.3">
      <c r="A30" t="s">
        <v>12</v>
      </c>
      <c r="B30" t="s">
        <v>147</v>
      </c>
      <c r="C30">
        <v>49151</v>
      </c>
      <c r="D30">
        <v>50901</v>
      </c>
      <c r="E30">
        <v>-3.4</v>
      </c>
    </row>
    <row r="31" spans="1:5" x14ac:dyDescent="0.3">
      <c r="A31" t="s">
        <v>12</v>
      </c>
      <c r="B31" t="s">
        <v>148</v>
      </c>
      <c r="C31">
        <v>50103</v>
      </c>
      <c r="D31">
        <v>49151</v>
      </c>
      <c r="E31">
        <v>1.9</v>
      </c>
    </row>
    <row r="32" spans="1:5" x14ac:dyDescent="0.3">
      <c r="A32" t="s">
        <v>12</v>
      </c>
      <c r="B32" t="s">
        <v>149</v>
      </c>
      <c r="C32">
        <v>49013</v>
      </c>
      <c r="D32">
        <v>50103</v>
      </c>
      <c r="E32">
        <v>-2.2000000000000002</v>
      </c>
    </row>
    <row r="33" spans="1:5" x14ac:dyDescent="0.3">
      <c r="A33" t="s">
        <v>12</v>
      </c>
      <c r="B33" t="s">
        <v>150</v>
      </c>
      <c r="C33">
        <v>49525</v>
      </c>
      <c r="D33">
        <v>49013</v>
      </c>
      <c r="E33">
        <v>1</v>
      </c>
    </row>
    <row r="34" spans="1:5" x14ac:dyDescent="0.3">
      <c r="A34" t="s">
        <v>12</v>
      </c>
      <c r="B34" t="s">
        <v>151</v>
      </c>
      <c r="C34">
        <v>51101</v>
      </c>
      <c r="D34">
        <v>49525</v>
      </c>
      <c r="E34">
        <v>3.2</v>
      </c>
    </row>
    <row r="35" spans="1:5" x14ac:dyDescent="0.3">
      <c r="A35" t="s">
        <v>12</v>
      </c>
      <c r="B35" t="s">
        <v>152</v>
      </c>
      <c r="C35">
        <v>55568</v>
      </c>
      <c r="D35">
        <v>51101</v>
      </c>
      <c r="E35">
        <v>8.6999999999999993</v>
      </c>
    </row>
    <row r="36" spans="1:5" x14ac:dyDescent="0.3">
      <c r="A36" t="s">
        <v>12</v>
      </c>
      <c r="B36" t="s">
        <v>153</v>
      </c>
      <c r="C36">
        <v>48246</v>
      </c>
      <c r="D36">
        <v>55568</v>
      </c>
      <c r="E36">
        <v>-13.2</v>
      </c>
    </row>
    <row r="37" spans="1:5" x14ac:dyDescent="0.3">
      <c r="A37" t="s">
        <v>12</v>
      </c>
      <c r="B37" t="s">
        <v>154</v>
      </c>
      <c r="C37">
        <v>42208</v>
      </c>
      <c r="D37">
        <v>48246</v>
      </c>
      <c r="E37">
        <v>-12.5</v>
      </c>
    </row>
    <row r="38" spans="1:5" x14ac:dyDescent="0.3">
      <c r="A38" t="s">
        <v>23</v>
      </c>
      <c r="B38" t="s">
        <v>143</v>
      </c>
      <c r="C38">
        <v>396</v>
      </c>
      <c r="D38" t="s">
        <v>157</v>
      </c>
      <c r="E38" t="s">
        <v>157</v>
      </c>
    </row>
    <row r="39" spans="1:5" x14ac:dyDescent="0.3">
      <c r="A39" t="s">
        <v>23</v>
      </c>
      <c r="B39" t="s">
        <v>144</v>
      </c>
      <c r="C39">
        <v>331</v>
      </c>
      <c r="D39">
        <v>396</v>
      </c>
      <c r="E39">
        <v>-16.399999999999999</v>
      </c>
    </row>
    <row r="40" spans="1:5" x14ac:dyDescent="0.3">
      <c r="A40" t="s">
        <v>23</v>
      </c>
      <c r="B40" t="s">
        <v>145</v>
      </c>
      <c r="C40">
        <v>425</v>
      </c>
      <c r="D40">
        <v>331</v>
      </c>
      <c r="E40">
        <v>28.4</v>
      </c>
    </row>
    <row r="41" spans="1:5" x14ac:dyDescent="0.3">
      <c r="A41" t="s">
        <v>23</v>
      </c>
      <c r="B41" t="s">
        <v>146</v>
      </c>
      <c r="C41">
        <v>377</v>
      </c>
      <c r="D41">
        <v>425</v>
      </c>
      <c r="E41">
        <v>-11.3</v>
      </c>
    </row>
    <row r="42" spans="1:5" x14ac:dyDescent="0.3">
      <c r="A42" t="s">
        <v>23</v>
      </c>
      <c r="B42" t="s">
        <v>147</v>
      </c>
      <c r="C42">
        <v>344</v>
      </c>
      <c r="D42">
        <v>377</v>
      </c>
      <c r="E42">
        <v>-8.8000000000000007</v>
      </c>
    </row>
    <row r="43" spans="1:5" x14ac:dyDescent="0.3">
      <c r="A43" t="s">
        <v>23</v>
      </c>
      <c r="B43" t="s">
        <v>148</v>
      </c>
      <c r="C43">
        <v>281</v>
      </c>
      <c r="D43">
        <v>344</v>
      </c>
      <c r="E43">
        <v>-18.3</v>
      </c>
    </row>
    <row r="44" spans="1:5" x14ac:dyDescent="0.3">
      <c r="A44" t="s">
        <v>23</v>
      </c>
      <c r="B44" t="s">
        <v>149</v>
      </c>
      <c r="C44">
        <v>276</v>
      </c>
      <c r="D44">
        <v>281</v>
      </c>
      <c r="E44">
        <v>-1.8</v>
      </c>
    </row>
    <row r="45" spans="1:5" x14ac:dyDescent="0.3">
      <c r="A45" t="s">
        <v>23</v>
      </c>
      <c r="B45" t="s">
        <v>150</v>
      </c>
      <c r="C45">
        <v>340</v>
      </c>
      <c r="D45">
        <v>276</v>
      </c>
      <c r="E45">
        <v>23.2</v>
      </c>
    </row>
    <row r="46" spans="1:5" x14ac:dyDescent="0.3">
      <c r="A46" t="s">
        <v>23</v>
      </c>
      <c r="B46" t="s">
        <v>151</v>
      </c>
      <c r="C46">
        <v>365</v>
      </c>
      <c r="D46">
        <v>340</v>
      </c>
      <c r="E46">
        <v>7.4</v>
      </c>
    </row>
    <row r="47" spans="1:5" x14ac:dyDescent="0.3">
      <c r="A47" t="s">
        <v>23</v>
      </c>
      <c r="B47" t="s">
        <v>152</v>
      </c>
      <c r="C47">
        <v>424</v>
      </c>
      <c r="D47">
        <v>365</v>
      </c>
      <c r="E47">
        <v>16.2</v>
      </c>
    </row>
    <row r="48" spans="1:5" x14ac:dyDescent="0.3">
      <c r="A48" t="s">
        <v>23</v>
      </c>
      <c r="B48" t="s">
        <v>153</v>
      </c>
      <c r="C48">
        <v>361</v>
      </c>
      <c r="D48">
        <v>424</v>
      </c>
      <c r="E48">
        <v>-14.9</v>
      </c>
    </row>
    <row r="49" spans="1:5" x14ac:dyDescent="0.3">
      <c r="A49" t="s">
        <v>23</v>
      </c>
      <c r="B49" t="s">
        <v>154</v>
      </c>
      <c r="C49">
        <v>286</v>
      </c>
      <c r="D49">
        <v>361</v>
      </c>
      <c r="E49">
        <v>-20.8</v>
      </c>
    </row>
    <row r="50" spans="1:5" x14ac:dyDescent="0.3">
      <c r="A50" t="s">
        <v>26</v>
      </c>
      <c r="B50" t="s">
        <v>143</v>
      </c>
      <c r="C50">
        <v>23769</v>
      </c>
      <c r="D50" t="s">
        <v>157</v>
      </c>
      <c r="E50" t="s">
        <v>157</v>
      </c>
    </row>
    <row r="51" spans="1:5" x14ac:dyDescent="0.3">
      <c r="A51" t="s">
        <v>26</v>
      </c>
      <c r="B51" t="s">
        <v>144</v>
      </c>
      <c r="C51">
        <v>20200</v>
      </c>
      <c r="D51">
        <v>23769</v>
      </c>
      <c r="E51">
        <v>-15</v>
      </c>
    </row>
    <row r="52" spans="1:5" x14ac:dyDescent="0.3">
      <c r="A52" t="s">
        <v>26</v>
      </c>
      <c r="B52" t="s">
        <v>145</v>
      </c>
      <c r="C52">
        <v>21400</v>
      </c>
      <c r="D52">
        <v>20200</v>
      </c>
      <c r="E52">
        <v>5.9</v>
      </c>
    </row>
    <row r="53" spans="1:5" x14ac:dyDescent="0.3">
      <c r="A53" t="s">
        <v>26</v>
      </c>
      <c r="B53" t="s">
        <v>146</v>
      </c>
      <c r="C53">
        <v>19968</v>
      </c>
      <c r="D53">
        <v>21400</v>
      </c>
      <c r="E53">
        <v>-6.7</v>
      </c>
    </row>
    <row r="54" spans="1:5" x14ac:dyDescent="0.3">
      <c r="A54" t="s">
        <v>26</v>
      </c>
      <c r="B54" t="s">
        <v>147</v>
      </c>
      <c r="C54">
        <v>19500</v>
      </c>
      <c r="D54">
        <v>19968</v>
      </c>
      <c r="E54">
        <v>-2.2999999999999998</v>
      </c>
    </row>
    <row r="55" spans="1:5" x14ac:dyDescent="0.3">
      <c r="A55" t="s">
        <v>26</v>
      </c>
      <c r="B55" t="s">
        <v>148</v>
      </c>
      <c r="C55">
        <v>21300</v>
      </c>
      <c r="D55">
        <v>19500</v>
      </c>
      <c r="E55">
        <v>9.1999999999999993</v>
      </c>
    </row>
    <row r="56" spans="1:5" x14ac:dyDescent="0.3">
      <c r="A56" t="s">
        <v>26</v>
      </c>
      <c r="B56" t="s">
        <v>149</v>
      </c>
      <c r="C56">
        <v>20507</v>
      </c>
      <c r="D56">
        <v>21300</v>
      </c>
      <c r="E56">
        <v>-3.7</v>
      </c>
    </row>
    <row r="57" spans="1:5" x14ac:dyDescent="0.3">
      <c r="A57" t="s">
        <v>26</v>
      </c>
      <c r="B57" t="s">
        <v>150</v>
      </c>
      <c r="C57">
        <v>22523</v>
      </c>
      <c r="D57">
        <v>20507</v>
      </c>
      <c r="E57">
        <v>9.8000000000000007</v>
      </c>
    </row>
    <row r="58" spans="1:5" x14ac:dyDescent="0.3">
      <c r="A58" t="s">
        <v>26</v>
      </c>
      <c r="B58" t="s">
        <v>151</v>
      </c>
      <c r="C58">
        <v>23523</v>
      </c>
      <c r="D58">
        <v>22523</v>
      </c>
      <c r="E58">
        <v>4.4000000000000004</v>
      </c>
    </row>
    <row r="59" spans="1:5" x14ac:dyDescent="0.3">
      <c r="A59" t="s">
        <v>26</v>
      </c>
      <c r="B59" t="s">
        <v>152</v>
      </c>
      <c r="C59">
        <v>22753</v>
      </c>
      <c r="D59">
        <v>23523</v>
      </c>
      <c r="E59">
        <v>-3.3</v>
      </c>
    </row>
    <row r="60" spans="1:5" x14ac:dyDescent="0.3">
      <c r="A60" t="s">
        <v>26</v>
      </c>
      <c r="B60" t="s">
        <v>153</v>
      </c>
      <c r="C60">
        <v>20600</v>
      </c>
      <c r="D60">
        <v>22753</v>
      </c>
      <c r="E60">
        <v>-9.5</v>
      </c>
    </row>
    <row r="61" spans="1:5" x14ac:dyDescent="0.3">
      <c r="A61" t="s">
        <v>26</v>
      </c>
      <c r="B61" t="s">
        <v>154</v>
      </c>
      <c r="C61">
        <v>8957</v>
      </c>
      <c r="D61">
        <v>20600</v>
      </c>
      <c r="E61">
        <v>-56.5</v>
      </c>
    </row>
    <row r="62" spans="1:5" x14ac:dyDescent="0.3">
      <c r="A62" t="s">
        <v>51</v>
      </c>
      <c r="B62" t="s">
        <v>143</v>
      </c>
      <c r="C62">
        <v>43068</v>
      </c>
      <c r="D62" t="s">
        <v>157</v>
      </c>
      <c r="E62" t="s">
        <v>157</v>
      </c>
    </row>
    <row r="63" spans="1:5" x14ac:dyDescent="0.3">
      <c r="A63" t="s">
        <v>51</v>
      </c>
      <c r="B63" t="s">
        <v>144</v>
      </c>
      <c r="C63">
        <v>42401</v>
      </c>
      <c r="D63">
        <v>43068</v>
      </c>
      <c r="E63">
        <v>-1.5</v>
      </c>
    </row>
    <row r="64" spans="1:5" x14ac:dyDescent="0.3">
      <c r="A64" t="s">
        <v>51</v>
      </c>
      <c r="B64" t="s">
        <v>145</v>
      </c>
      <c r="C64">
        <v>40631</v>
      </c>
      <c r="D64">
        <v>42401</v>
      </c>
      <c r="E64">
        <v>-4.2</v>
      </c>
    </row>
    <row r="65" spans="1:5" x14ac:dyDescent="0.3">
      <c r="A65" t="s">
        <v>51</v>
      </c>
      <c r="B65" t="s">
        <v>146</v>
      </c>
      <c r="C65">
        <v>41008</v>
      </c>
      <c r="D65">
        <v>40631</v>
      </c>
      <c r="E65">
        <v>0.9</v>
      </c>
    </row>
    <row r="66" spans="1:5" x14ac:dyDescent="0.3">
      <c r="A66" t="s">
        <v>51</v>
      </c>
      <c r="B66" t="s">
        <v>147</v>
      </c>
      <c r="C66">
        <v>43218</v>
      </c>
      <c r="D66">
        <v>41008</v>
      </c>
      <c r="E66">
        <v>5.4</v>
      </c>
    </row>
    <row r="67" spans="1:5" x14ac:dyDescent="0.3">
      <c r="A67" t="s">
        <v>51</v>
      </c>
      <c r="B67" t="s">
        <v>148</v>
      </c>
      <c r="C67">
        <v>40022</v>
      </c>
      <c r="D67">
        <v>43218</v>
      </c>
      <c r="E67">
        <v>-7.4</v>
      </c>
    </row>
    <row r="68" spans="1:5" x14ac:dyDescent="0.3">
      <c r="A68" t="s">
        <v>51</v>
      </c>
      <c r="B68" t="s">
        <v>149</v>
      </c>
      <c r="C68">
        <v>41623</v>
      </c>
      <c r="D68">
        <v>40022</v>
      </c>
      <c r="E68">
        <v>4</v>
      </c>
    </row>
    <row r="69" spans="1:5" x14ac:dyDescent="0.3">
      <c r="A69" t="s">
        <v>51</v>
      </c>
      <c r="B69" t="s">
        <v>150</v>
      </c>
      <c r="C69">
        <v>43277</v>
      </c>
      <c r="D69">
        <v>41623</v>
      </c>
      <c r="E69">
        <v>4</v>
      </c>
    </row>
    <row r="70" spans="1:5" x14ac:dyDescent="0.3">
      <c r="A70" t="s">
        <v>51</v>
      </c>
      <c r="B70" t="s">
        <v>151</v>
      </c>
      <c r="C70">
        <v>51062</v>
      </c>
      <c r="D70">
        <v>43277</v>
      </c>
      <c r="E70">
        <v>18</v>
      </c>
    </row>
    <row r="71" spans="1:5" x14ac:dyDescent="0.3">
      <c r="A71" t="s">
        <v>51</v>
      </c>
      <c r="B71" t="s">
        <v>152</v>
      </c>
      <c r="C71">
        <v>54504</v>
      </c>
      <c r="D71">
        <v>51062</v>
      </c>
      <c r="E71">
        <v>6.7</v>
      </c>
    </row>
    <row r="72" spans="1:5" x14ac:dyDescent="0.3">
      <c r="A72" t="s">
        <v>51</v>
      </c>
      <c r="B72" t="s">
        <v>153</v>
      </c>
      <c r="C72">
        <v>46222</v>
      </c>
      <c r="D72">
        <v>54504</v>
      </c>
      <c r="E72">
        <v>-15.2</v>
      </c>
    </row>
    <row r="73" spans="1:5" x14ac:dyDescent="0.3">
      <c r="A73" t="s">
        <v>51</v>
      </c>
      <c r="B73" t="s">
        <v>154</v>
      </c>
      <c r="C73">
        <v>41424</v>
      </c>
      <c r="D73">
        <v>46222</v>
      </c>
      <c r="E73">
        <v>-10.4</v>
      </c>
    </row>
    <row r="74" spans="1:5" x14ac:dyDescent="0.3">
      <c r="A74" t="s">
        <v>59</v>
      </c>
      <c r="B74" t="s">
        <v>143</v>
      </c>
      <c r="C74">
        <v>166802</v>
      </c>
      <c r="D74" t="s">
        <v>157</v>
      </c>
      <c r="E74" t="s">
        <v>157</v>
      </c>
    </row>
    <row r="75" spans="1:5" x14ac:dyDescent="0.3">
      <c r="A75" t="s">
        <v>59</v>
      </c>
      <c r="B75" t="s">
        <v>144</v>
      </c>
      <c r="C75">
        <v>158373</v>
      </c>
      <c r="D75">
        <v>166802</v>
      </c>
      <c r="E75">
        <v>-5.0999999999999996</v>
      </c>
    </row>
    <row r="76" spans="1:5" x14ac:dyDescent="0.3">
      <c r="A76" t="s">
        <v>59</v>
      </c>
      <c r="B76" t="s">
        <v>145</v>
      </c>
      <c r="C76">
        <v>152718</v>
      </c>
      <c r="D76">
        <v>158373</v>
      </c>
      <c r="E76">
        <v>-3.6</v>
      </c>
    </row>
    <row r="77" spans="1:5" x14ac:dyDescent="0.3">
      <c r="A77" t="s">
        <v>59</v>
      </c>
      <c r="B77" t="s">
        <v>146</v>
      </c>
      <c r="C77">
        <v>137952</v>
      </c>
      <c r="D77">
        <v>152718</v>
      </c>
      <c r="E77">
        <v>-9.6999999999999993</v>
      </c>
    </row>
    <row r="78" spans="1:5" x14ac:dyDescent="0.3">
      <c r="A78" t="s">
        <v>59</v>
      </c>
      <c r="B78" t="s">
        <v>147</v>
      </c>
      <c r="C78">
        <v>144002</v>
      </c>
      <c r="D78">
        <v>137952</v>
      </c>
      <c r="E78">
        <v>4.4000000000000004</v>
      </c>
    </row>
    <row r="79" spans="1:5" x14ac:dyDescent="0.3">
      <c r="A79" t="s">
        <v>59</v>
      </c>
      <c r="B79" t="s">
        <v>148</v>
      </c>
      <c r="C79">
        <v>137160</v>
      </c>
      <c r="D79">
        <v>144002</v>
      </c>
      <c r="E79">
        <v>-4.8</v>
      </c>
    </row>
    <row r="80" spans="1:5" x14ac:dyDescent="0.3">
      <c r="A80" t="s">
        <v>59</v>
      </c>
      <c r="B80" t="s">
        <v>149</v>
      </c>
      <c r="C80">
        <v>137463</v>
      </c>
      <c r="D80">
        <v>137160</v>
      </c>
      <c r="E80">
        <v>0.2</v>
      </c>
    </row>
    <row r="81" spans="1:5" x14ac:dyDescent="0.3">
      <c r="A81" t="s">
        <v>59</v>
      </c>
      <c r="B81" t="s">
        <v>150</v>
      </c>
      <c r="C81">
        <v>143075</v>
      </c>
      <c r="D81">
        <v>137463</v>
      </c>
      <c r="E81">
        <v>4.0999999999999996</v>
      </c>
    </row>
    <row r="82" spans="1:5" x14ac:dyDescent="0.3">
      <c r="A82" t="s">
        <v>59</v>
      </c>
      <c r="B82" t="s">
        <v>151</v>
      </c>
      <c r="C82">
        <v>144962</v>
      </c>
      <c r="D82">
        <v>143075</v>
      </c>
      <c r="E82">
        <v>1.3</v>
      </c>
    </row>
    <row r="83" spans="1:5" x14ac:dyDescent="0.3">
      <c r="A83" t="s">
        <v>59</v>
      </c>
      <c r="B83" t="s">
        <v>152</v>
      </c>
      <c r="C83">
        <v>159591</v>
      </c>
      <c r="D83">
        <v>144962</v>
      </c>
      <c r="E83">
        <v>10.1</v>
      </c>
    </row>
    <row r="84" spans="1:5" x14ac:dyDescent="0.3">
      <c r="A84" t="s">
        <v>59</v>
      </c>
      <c r="B84" t="s">
        <v>153</v>
      </c>
      <c r="C84">
        <v>141312</v>
      </c>
      <c r="D84">
        <v>159591</v>
      </c>
      <c r="E84">
        <v>-11.5</v>
      </c>
    </row>
    <row r="85" spans="1:5" x14ac:dyDescent="0.3">
      <c r="A85" t="s">
        <v>59</v>
      </c>
      <c r="B85" t="s">
        <v>154</v>
      </c>
      <c r="C85">
        <v>130115</v>
      </c>
      <c r="D85">
        <v>141312</v>
      </c>
      <c r="E85">
        <v>-7.9</v>
      </c>
    </row>
    <row r="86" spans="1:5" x14ac:dyDescent="0.3">
      <c r="A86" t="s">
        <v>78</v>
      </c>
      <c r="B86" t="s">
        <v>143</v>
      </c>
      <c r="C86">
        <v>3825</v>
      </c>
      <c r="D86" t="s">
        <v>157</v>
      </c>
      <c r="E86" t="s">
        <v>157</v>
      </c>
    </row>
    <row r="87" spans="1:5" x14ac:dyDescent="0.3">
      <c r="A87" t="s">
        <v>78</v>
      </c>
      <c r="B87" t="s">
        <v>144</v>
      </c>
      <c r="C87">
        <v>4532</v>
      </c>
      <c r="D87">
        <v>3825</v>
      </c>
      <c r="E87">
        <v>18.5</v>
      </c>
    </row>
    <row r="88" spans="1:5" x14ac:dyDescent="0.3">
      <c r="A88" t="s">
        <v>78</v>
      </c>
      <c r="B88" t="s">
        <v>145</v>
      </c>
      <c r="C88">
        <v>4648</v>
      </c>
      <c r="D88">
        <v>4532</v>
      </c>
      <c r="E88">
        <v>2.6</v>
      </c>
    </row>
    <row r="89" spans="1:5" x14ac:dyDescent="0.3">
      <c r="A89" t="s">
        <v>78</v>
      </c>
      <c r="B89" t="s">
        <v>146</v>
      </c>
      <c r="C89">
        <v>4485</v>
      </c>
      <c r="D89">
        <v>4648</v>
      </c>
      <c r="E89">
        <v>-3.5</v>
      </c>
    </row>
    <row r="90" spans="1:5" x14ac:dyDescent="0.3">
      <c r="A90" t="s">
        <v>78</v>
      </c>
      <c r="B90" t="s">
        <v>147</v>
      </c>
      <c r="C90">
        <v>4769</v>
      </c>
      <c r="D90">
        <v>4485</v>
      </c>
      <c r="E90">
        <v>6.3</v>
      </c>
    </row>
    <row r="91" spans="1:5" x14ac:dyDescent="0.3">
      <c r="A91" t="s">
        <v>78</v>
      </c>
      <c r="B91" t="s">
        <v>148</v>
      </c>
      <c r="C91">
        <v>4644</v>
      </c>
      <c r="D91">
        <v>4769</v>
      </c>
      <c r="E91">
        <v>-2.6</v>
      </c>
    </row>
    <row r="92" spans="1:5" x14ac:dyDescent="0.3">
      <c r="A92" t="s">
        <v>78</v>
      </c>
      <c r="B92" t="s">
        <v>149</v>
      </c>
      <c r="C92">
        <v>4572</v>
      </c>
      <c r="D92">
        <v>4644</v>
      </c>
      <c r="E92">
        <v>-1.6</v>
      </c>
    </row>
    <row r="93" spans="1:5" x14ac:dyDescent="0.3">
      <c r="A93" t="s">
        <v>78</v>
      </c>
      <c r="B93" t="s">
        <v>150</v>
      </c>
      <c r="C93">
        <v>4571</v>
      </c>
      <c r="D93">
        <v>4572</v>
      </c>
      <c r="E93">
        <v>0</v>
      </c>
    </row>
    <row r="94" spans="1:5" x14ac:dyDescent="0.3">
      <c r="A94" t="s">
        <v>78</v>
      </c>
      <c r="B94" t="s">
        <v>151</v>
      </c>
      <c r="C94">
        <v>4588</v>
      </c>
      <c r="D94">
        <v>4571</v>
      </c>
      <c r="E94">
        <v>0.4</v>
      </c>
    </row>
    <row r="95" spans="1:5" x14ac:dyDescent="0.3">
      <c r="A95" t="s">
        <v>78</v>
      </c>
      <c r="B95" t="s">
        <v>152</v>
      </c>
      <c r="C95">
        <v>7045</v>
      </c>
      <c r="D95">
        <v>4588</v>
      </c>
      <c r="E95">
        <v>53.6</v>
      </c>
    </row>
    <row r="96" spans="1:5" x14ac:dyDescent="0.3">
      <c r="A96" t="s">
        <v>78</v>
      </c>
      <c r="B96" t="s">
        <v>153</v>
      </c>
      <c r="C96">
        <v>6019</v>
      </c>
      <c r="D96">
        <v>7045</v>
      </c>
      <c r="E96">
        <v>-14.6</v>
      </c>
    </row>
    <row r="97" spans="1:5" x14ac:dyDescent="0.3">
      <c r="A97" t="s">
        <v>78</v>
      </c>
      <c r="B97" t="s">
        <v>154</v>
      </c>
      <c r="C97">
        <v>7516</v>
      </c>
      <c r="D97">
        <v>6019</v>
      </c>
      <c r="E97">
        <v>24.9</v>
      </c>
    </row>
    <row r="98" spans="1:5" x14ac:dyDescent="0.3">
      <c r="A98" t="s">
        <v>85</v>
      </c>
      <c r="B98" t="s">
        <v>143</v>
      </c>
      <c r="C98">
        <v>2863</v>
      </c>
      <c r="D98" t="s">
        <v>157</v>
      </c>
      <c r="E98" t="s">
        <v>157</v>
      </c>
    </row>
    <row r="99" spans="1:5" x14ac:dyDescent="0.3">
      <c r="A99" t="s">
        <v>85</v>
      </c>
      <c r="B99" t="s">
        <v>144</v>
      </c>
      <c r="C99">
        <v>2755</v>
      </c>
      <c r="D99">
        <v>2863</v>
      </c>
      <c r="E99">
        <v>-3.8</v>
      </c>
    </row>
    <row r="100" spans="1:5" x14ac:dyDescent="0.3">
      <c r="A100" t="s">
        <v>85</v>
      </c>
      <c r="B100" t="s">
        <v>145</v>
      </c>
      <c r="C100">
        <v>2701</v>
      </c>
      <c r="D100">
        <v>2755</v>
      </c>
      <c r="E100">
        <v>-2</v>
      </c>
    </row>
    <row r="101" spans="1:5" x14ac:dyDescent="0.3">
      <c r="A101" t="s">
        <v>85</v>
      </c>
      <c r="B101" t="s">
        <v>146</v>
      </c>
      <c r="C101">
        <v>2404</v>
      </c>
      <c r="D101">
        <v>2701</v>
      </c>
      <c r="E101">
        <v>-11</v>
      </c>
    </row>
    <row r="102" spans="1:5" x14ac:dyDescent="0.3">
      <c r="A102" t="s">
        <v>85</v>
      </c>
      <c r="B102" t="s">
        <v>147</v>
      </c>
      <c r="C102">
        <v>2211</v>
      </c>
      <c r="D102">
        <v>2404</v>
      </c>
      <c r="E102">
        <v>-8</v>
      </c>
    </row>
    <row r="103" spans="1:5" x14ac:dyDescent="0.3">
      <c r="A103" t="s">
        <v>85</v>
      </c>
      <c r="B103" t="s">
        <v>148</v>
      </c>
      <c r="C103">
        <v>2107</v>
      </c>
      <c r="D103">
        <v>2211</v>
      </c>
      <c r="E103">
        <v>-4.7</v>
      </c>
    </row>
    <row r="104" spans="1:5" x14ac:dyDescent="0.3">
      <c r="A104" t="s">
        <v>85</v>
      </c>
      <c r="B104" t="s">
        <v>149</v>
      </c>
      <c r="C104">
        <v>2011</v>
      </c>
      <c r="D104">
        <v>2107</v>
      </c>
      <c r="E104">
        <v>-4.5999999999999996</v>
      </c>
    </row>
    <row r="105" spans="1:5" x14ac:dyDescent="0.3">
      <c r="A105" t="s">
        <v>85</v>
      </c>
      <c r="B105" t="s">
        <v>150</v>
      </c>
      <c r="C105">
        <v>2263</v>
      </c>
      <c r="D105">
        <v>2011</v>
      </c>
      <c r="E105">
        <v>12.5</v>
      </c>
    </row>
    <row r="106" spans="1:5" x14ac:dyDescent="0.3">
      <c r="A106" t="s">
        <v>85</v>
      </c>
      <c r="B106" t="s">
        <v>151</v>
      </c>
      <c r="C106">
        <v>2113</v>
      </c>
      <c r="D106">
        <v>2263</v>
      </c>
      <c r="E106">
        <v>-6.6</v>
      </c>
    </row>
    <row r="107" spans="1:5" x14ac:dyDescent="0.3">
      <c r="A107" t="s">
        <v>85</v>
      </c>
      <c r="B107" t="s">
        <v>152</v>
      </c>
      <c r="C107">
        <v>3121</v>
      </c>
      <c r="D107">
        <v>2113</v>
      </c>
      <c r="E107">
        <v>47.7</v>
      </c>
    </row>
    <row r="108" spans="1:5" x14ac:dyDescent="0.3">
      <c r="A108" t="s">
        <v>85</v>
      </c>
      <c r="B108" t="s">
        <v>153</v>
      </c>
      <c r="C108">
        <v>2342</v>
      </c>
      <c r="D108">
        <v>3121</v>
      </c>
      <c r="E108">
        <v>-25</v>
      </c>
    </row>
    <row r="109" spans="1:5" x14ac:dyDescent="0.3">
      <c r="A109" t="s">
        <v>85</v>
      </c>
      <c r="B109" t="s">
        <v>154</v>
      </c>
      <c r="C109">
        <v>2118</v>
      </c>
      <c r="D109">
        <v>2342</v>
      </c>
      <c r="E109">
        <v>-9.6</v>
      </c>
    </row>
    <row r="110" spans="1:5" x14ac:dyDescent="0.3">
      <c r="A110" t="s">
        <v>88</v>
      </c>
      <c r="B110" t="s">
        <v>143</v>
      </c>
      <c r="C110">
        <v>3826</v>
      </c>
      <c r="D110" t="s">
        <v>157</v>
      </c>
      <c r="E110" t="s">
        <v>157</v>
      </c>
    </row>
    <row r="111" spans="1:5" x14ac:dyDescent="0.3">
      <c r="A111" t="s">
        <v>88</v>
      </c>
      <c r="B111" t="s">
        <v>144</v>
      </c>
      <c r="C111">
        <v>4080</v>
      </c>
      <c r="D111">
        <v>3826</v>
      </c>
      <c r="E111">
        <v>6.6</v>
      </c>
    </row>
    <row r="112" spans="1:5" x14ac:dyDescent="0.3">
      <c r="A112" t="s">
        <v>88</v>
      </c>
      <c r="B112" t="s">
        <v>145</v>
      </c>
      <c r="C112">
        <v>4225</v>
      </c>
      <c r="D112">
        <v>4080</v>
      </c>
      <c r="E112">
        <v>3.6</v>
      </c>
    </row>
    <row r="113" spans="1:5" x14ac:dyDescent="0.3">
      <c r="A113" t="s">
        <v>88</v>
      </c>
      <c r="B113" t="s">
        <v>146</v>
      </c>
      <c r="C113">
        <v>3707</v>
      </c>
      <c r="D113">
        <v>4225</v>
      </c>
      <c r="E113">
        <v>-12.3</v>
      </c>
    </row>
    <row r="114" spans="1:5" x14ac:dyDescent="0.3">
      <c r="A114" t="s">
        <v>88</v>
      </c>
      <c r="B114" t="s">
        <v>147</v>
      </c>
      <c r="C114">
        <v>3709</v>
      </c>
      <c r="D114">
        <v>3707</v>
      </c>
      <c r="E114">
        <v>0.1</v>
      </c>
    </row>
    <row r="115" spans="1:5" x14ac:dyDescent="0.3">
      <c r="A115" t="s">
        <v>88</v>
      </c>
      <c r="B115" t="s">
        <v>148</v>
      </c>
      <c r="C115">
        <v>3553</v>
      </c>
      <c r="D115">
        <v>3709</v>
      </c>
      <c r="E115">
        <v>-4.2</v>
      </c>
    </row>
    <row r="116" spans="1:5" x14ac:dyDescent="0.3">
      <c r="A116" t="s">
        <v>88</v>
      </c>
      <c r="B116" t="s">
        <v>149</v>
      </c>
      <c r="C116">
        <v>2832</v>
      </c>
      <c r="D116">
        <v>3553</v>
      </c>
      <c r="E116">
        <v>-20.3</v>
      </c>
    </row>
    <row r="117" spans="1:5" x14ac:dyDescent="0.3">
      <c r="A117" t="s">
        <v>88</v>
      </c>
      <c r="B117" t="s">
        <v>150</v>
      </c>
      <c r="C117">
        <v>3018</v>
      </c>
      <c r="D117">
        <v>2832</v>
      </c>
      <c r="E117">
        <v>6.6</v>
      </c>
    </row>
    <row r="118" spans="1:5" x14ac:dyDescent="0.3">
      <c r="A118" t="s">
        <v>88</v>
      </c>
      <c r="B118" t="s">
        <v>151</v>
      </c>
      <c r="C118">
        <v>3217</v>
      </c>
      <c r="D118">
        <v>3018</v>
      </c>
      <c r="E118">
        <v>6.6</v>
      </c>
    </row>
    <row r="119" spans="1:5" x14ac:dyDescent="0.3">
      <c r="A119" t="s">
        <v>88</v>
      </c>
      <c r="B119" t="s">
        <v>152</v>
      </c>
      <c r="C119">
        <v>3870</v>
      </c>
      <c r="D119">
        <v>3217</v>
      </c>
      <c r="E119">
        <v>20.3</v>
      </c>
    </row>
    <row r="120" spans="1:5" x14ac:dyDescent="0.3">
      <c r="A120" t="s">
        <v>88</v>
      </c>
      <c r="B120" t="s">
        <v>153</v>
      </c>
      <c r="C120">
        <v>2811</v>
      </c>
      <c r="D120">
        <v>3870</v>
      </c>
      <c r="E120">
        <v>-27.4</v>
      </c>
    </row>
    <row r="121" spans="1:5" x14ac:dyDescent="0.3">
      <c r="A121" t="s">
        <v>88</v>
      </c>
      <c r="B121" t="s">
        <v>154</v>
      </c>
      <c r="C121">
        <v>2881</v>
      </c>
      <c r="D121">
        <v>2811</v>
      </c>
      <c r="E121">
        <v>2.5</v>
      </c>
    </row>
    <row r="122" spans="1:5" x14ac:dyDescent="0.3">
      <c r="A122" t="s">
        <v>92</v>
      </c>
      <c r="B122" t="s">
        <v>143</v>
      </c>
      <c r="C122">
        <v>2377</v>
      </c>
      <c r="D122" t="s">
        <v>157</v>
      </c>
      <c r="E122" t="s">
        <v>157</v>
      </c>
    </row>
    <row r="123" spans="1:5" x14ac:dyDescent="0.3">
      <c r="A123" t="s">
        <v>92</v>
      </c>
      <c r="B123" t="s">
        <v>144</v>
      </c>
      <c r="C123">
        <v>2254</v>
      </c>
      <c r="D123">
        <v>2377</v>
      </c>
      <c r="E123">
        <v>-5.2</v>
      </c>
    </row>
    <row r="124" spans="1:5" x14ac:dyDescent="0.3">
      <c r="A124" t="s">
        <v>92</v>
      </c>
      <c r="B124" t="s">
        <v>145</v>
      </c>
      <c r="C124">
        <v>2802</v>
      </c>
      <c r="D124">
        <v>2254</v>
      </c>
      <c r="E124">
        <v>24.3</v>
      </c>
    </row>
    <row r="125" spans="1:5" x14ac:dyDescent="0.3">
      <c r="A125" t="s">
        <v>92</v>
      </c>
      <c r="B125" t="s">
        <v>146</v>
      </c>
      <c r="C125">
        <v>2579</v>
      </c>
      <c r="D125">
        <v>2802</v>
      </c>
      <c r="E125">
        <v>-8</v>
      </c>
    </row>
    <row r="126" spans="1:5" x14ac:dyDescent="0.3">
      <c r="A126" t="s">
        <v>92</v>
      </c>
      <c r="B126" t="s">
        <v>147</v>
      </c>
      <c r="C126">
        <v>2884</v>
      </c>
      <c r="D126">
        <v>2579</v>
      </c>
      <c r="E126">
        <v>11.8</v>
      </c>
    </row>
    <row r="127" spans="1:5" x14ac:dyDescent="0.3">
      <c r="A127" t="s">
        <v>92</v>
      </c>
      <c r="B127" t="s">
        <v>148</v>
      </c>
      <c r="C127">
        <v>2566</v>
      </c>
      <c r="D127">
        <v>2884</v>
      </c>
      <c r="E127">
        <v>-11</v>
      </c>
    </row>
    <row r="128" spans="1:5" x14ac:dyDescent="0.3">
      <c r="A128" t="s">
        <v>92</v>
      </c>
      <c r="B128" t="s">
        <v>149</v>
      </c>
      <c r="C128">
        <v>2103</v>
      </c>
      <c r="D128">
        <v>2566</v>
      </c>
      <c r="E128">
        <v>-18</v>
      </c>
    </row>
    <row r="129" spans="1:5" x14ac:dyDescent="0.3">
      <c r="A129" t="s">
        <v>92</v>
      </c>
      <c r="B129" t="s">
        <v>150</v>
      </c>
      <c r="C129">
        <v>2772</v>
      </c>
      <c r="D129">
        <v>2103</v>
      </c>
      <c r="E129">
        <v>31.8</v>
      </c>
    </row>
    <row r="130" spans="1:5" x14ac:dyDescent="0.3">
      <c r="A130" t="s">
        <v>92</v>
      </c>
      <c r="B130" t="s">
        <v>151</v>
      </c>
      <c r="C130">
        <v>3301</v>
      </c>
      <c r="D130">
        <v>2772</v>
      </c>
      <c r="E130">
        <v>19.100000000000001</v>
      </c>
    </row>
    <row r="131" spans="1:5" x14ac:dyDescent="0.3">
      <c r="A131" t="s">
        <v>92</v>
      </c>
      <c r="B131" t="s">
        <v>152</v>
      </c>
      <c r="C131">
        <v>4079</v>
      </c>
      <c r="D131">
        <v>3301</v>
      </c>
      <c r="E131">
        <v>23.6</v>
      </c>
    </row>
    <row r="132" spans="1:5" x14ac:dyDescent="0.3">
      <c r="A132" t="s">
        <v>92</v>
      </c>
      <c r="B132" t="s">
        <v>153</v>
      </c>
      <c r="C132">
        <v>2886</v>
      </c>
      <c r="D132">
        <v>4079</v>
      </c>
      <c r="E132">
        <v>-29.2</v>
      </c>
    </row>
    <row r="133" spans="1:5" x14ac:dyDescent="0.3">
      <c r="A133" t="s">
        <v>92</v>
      </c>
      <c r="B133" t="s">
        <v>154</v>
      </c>
      <c r="C133">
        <v>4554</v>
      </c>
      <c r="D133">
        <v>2886</v>
      </c>
      <c r="E133">
        <v>57.8</v>
      </c>
    </row>
    <row r="134" spans="1:5" x14ac:dyDescent="0.3">
      <c r="A134" t="s">
        <v>97</v>
      </c>
      <c r="B134" t="s">
        <v>143</v>
      </c>
      <c r="C134">
        <v>53635</v>
      </c>
      <c r="D134" t="s">
        <v>157</v>
      </c>
      <c r="E134" t="s">
        <v>157</v>
      </c>
    </row>
    <row r="135" spans="1:5" x14ac:dyDescent="0.3">
      <c r="A135" t="s">
        <v>97</v>
      </c>
      <c r="B135" t="s">
        <v>144</v>
      </c>
      <c r="C135">
        <v>51270</v>
      </c>
      <c r="D135">
        <v>53635</v>
      </c>
      <c r="E135">
        <v>-4.4000000000000004</v>
      </c>
    </row>
    <row r="136" spans="1:5" x14ac:dyDescent="0.3">
      <c r="A136" t="s">
        <v>97</v>
      </c>
      <c r="B136" t="s">
        <v>145</v>
      </c>
      <c r="C136">
        <v>50105</v>
      </c>
      <c r="D136">
        <v>51270</v>
      </c>
      <c r="E136">
        <v>-2.2999999999999998</v>
      </c>
    </row>
    <row r="137" spans="1:5" x14ac:dyDescent="0.3">
      <c r="A137" t="s">
        <v>97</v>
      </c>
      <c r="B137" t="s">
        <v>146</v>
      </c>
      <c r="C137">
        <v>47885</v>
      </c>
      <c r="D137">
        <v>50105</v>
      </c>
      <c r="E137">
        <v>-4.4000000000000004</v>
      </c>
    </row>
    <row r="138" spans="1:5" x14ac:dyDescent="0.3">
      <c r="A138" t="s">
        <v>97</v>
      </c>
      <c r="B138" t="s">
        <v>147</v>
      </c>
      <c r="C138">
        <v>46700</v>
      </c>
      <c r="D138">
        <v>47885</v>
      </c>
      <c r="E138">
        <v>-2.5</v>
      </c>
    </row>
    <row r="139" spans="1:5" x14ac:dyDescent="0.3">
      <c r="A139" t="s">
        <v>97</v>
      </c>
      <c r="B139" t="s">
        <v>148</v>
      </c>
      <c r="C139">
        <v>43953</v>
      </c>
      <c r="D139">
        <v>46700</v>
      </c>
      <c r="E139">
        <v>-5.9</v>
      </c>
    </row>
    <row r="140" spans="1:5" x14ac:dyDescent="0.3">
      <c r="A140" t="s">
        <v>97</v>
      </c>
      <c r="B140" t="s">
        <v>149</v>
      </c>
      <c r="C140">
        <v>44727</v>
      </c>
      <c r="D140">
        <v>43953</v>
      </c>
      <c r="E140">
        <v>1.8</v>
      </c>
    </row>
    <row r="141" spans="1:5" x14ac:dyDescent="0.3">
      <c r="A141" t="s">
        <v>97</v>
      </c>
      <c r="B141" t="s">
        <v>150</v>
      </c>
      <c r="C141">
        <v>44142</v>
      </c>
      <c r="D141">
        <v>44727</v>
      </c>
      <c r="E141">
        <v>-1.3</v>
      </c>
    </row>
    <row r="142" spans="1:5" x14ac:dyDescent="0.3">
      <c r="A142" t="s">
        <v>97</v>
      </c>
      <c r="B142" t="s">
        <v>151</v>
      </c>
      <c r="C142">
        <v>41065</v>
      </c>
      <c r="D142">
        <v>44142</v>
      </c>
      <c r="E142">
        <v>-7</v>
      </c>
    </row>
    <row r="143" spans="1:5" x14ac:dyDescent="0.3">
      <c r="A143" t="s">
        <v>97</v>
      </c>
      <c r="B143" t="s">
        <v>152</v>
      </c>
      <c r="C143">
        <v>48133</v>
      </c>
      <c r="D143">
        <v>41065</v>
      </c>
      <c r="E143">
        <v>17.2</v>
      </c>
    </row>
    <row r="144" spans="1:5" x14ac:dyDescent="0.3">
      <c r="A144" t="s">
        <v>97</v>
      </c>
      <c r="B144" t="s">
        <v>153</v>
      </c>
      <c r="C144">
        <v>47063</v>
      </c>
      <c r="D144">
        <v>48133</v>
      </c>
      <c r="E144">
        <v>-2.2000000000000002</v>
      </c>
    </row>
    <row r="145" spans="1:5" x14ac:dyDescent="0.3">
      <c r="A145" t="s">
        <v>97</v>
      </c>
      <c r="B145" t="s">
        <v>154</v>
      </c>
      <c r="C145">
        <v>44221</v>
      </c>
      <c r="D145">
        <v>47063</v>
      </c>
      <c r="E145">
        <v>-6</v>
      </c>
    </row>
    <row r="146" spans="1:5" x14ac:dyDescent="0.3">
      <c r="A146" t="s">
        <v>106</v>
      </c>
      <c r="B146" t="s">
        <v>143</v>
      </c>
      <c r="C146">
        <v>23197</v>
      </c>
      <c r="D146" t="s">
        <v>157</v>
      </c>
      <c r="E146" t="s">
        <v>157</v>
      </c>
    </row>
    <row r="147" spans="1:5" x14ac:dyDescent="0.3">
      <c r="A147" t="s">
        <v>106</v>
      </c>
      <c r="B147" t="s">
        <v>144</v>
      </c>
      <c r="C147">
        <v>23300</v>
      </c>
      <c r="D147">
        <v>23197</v>
      </c>
      <c r="E147">
        <v>0.4</v>
      </c>
    </row>
    <row r="148" spans="1:5" x14ac:dyDescent="0.3">
      <c r="A148" t="s">
        <v>106</v>
      </c>
      <c r="B148" t="s">
        <v>145</v>
      </c>
      <c r="C148">
        <v>25119</v>
      </c>
      <c r="D148">
        <v>23300</v>
      </c>
      <c r="E148">
        <v>7.8</v>
      </c>
    </row>
    <row r="149" spans="1:5" x14ac:dyDescent="0.3">
      <c r="A149" t="s">
        <v>106</v>
      </c>
      <c r="B149" t="s">
        <v>146</v>
      </c>
      <c r="C149">
        <v>18700</v>
      </c>
      <c r="D149">
        <v>25119</v>
      </c>
      <c r="E149">
        <v>-25.6</v>
      </c>
    </row>
    <row r="150" spans="1:5" x14ac:dyDescent="0.3">
      <c r="A150" t="s">
        <v>106</v>
      </c>
      <c r="B150" t="s">
        <v>147</v>
      </c>
      <c r="C150">
        <v>23959</v>
      </c>
      <c r="D150">
        <v>18700</v>
      </c>
      <c r="E150">
        <v>28.1</v>
      </c>
    </row>
    <row r="151" spans="1:5" x14ac:dyDescent="0.3">
      <c r="A151" t="s">
        <v>106</v>
      </c>
      <c r="B151" t="s">
        <v>148</v>
      </c>
      <c r="C151">
        <v>25752</v>
      </c>
      <c r="D151">
        <v>23959</v>
      </c>
      <c r="E151">
        <v>7.5</v>
      </c>
    </row>
    <row r="152" spans="1:5" x14ac:dyDescent="0.3">
      <c r="A152" t="s">
        <v>106</v>
      </c>
      <c r="B152" t="s">
        <v>149</v>
      </c>
      <c r="C152">
        <v>29533</v>
      </c>
      <c r="D152">
        <v>25752</v>
      </c>
      <c r="E152">
        <v>14.7</v>
      </c>
    </row>
    <row r="153" spans="1:5" x14ac:dyDescent="0.3">
      <c r="A153" t="s">
        <v>106</v>
      </c>
      <c r="B153" t="s">
        <v>150</v>
      </c>
      <c r="C153">
        <v>28589</v>
      </c>
      <c r="D153">
        <v>29533</v>
      </c>
      <c r="E153">
        <v>-3.2</v>
      </c>
    </row>
    <row r="154" spans="1:5" x14ac:dyDescent="0.3">
      <c r="A154" t="s">
        <v>106</v>
      </c>
      <c r="B154" t="s">
        <v>151</v>
      </c>
      <c r="C154">
        <v>23802</v>
      </c>
      <c r="D154">
        <v>28589</v>
      </c>
      <c r="E154">
        <v>-16.7</v>
      </c>
    </row>
    <row r="155" spans="1:5" x14ac:dyDescent="0.3">
      <c r="A155" t="s">
        <v>106</v>
      </c>
      <c r="B155" t="s">
        <v>152</v>
      </c>
      <c r="C155">
        <v>28138</v>
      </c>
      <c r="D155">
        <v>23802</v>
      </c>
      <c r="E155">
        <v>18.2</v>
      </c>
    </row>
    <row r="156" spans="1:5" x14ac:dyDescent="0.3">
      <c r="A156" t="s">
        <v>106</v>
      </c>
      <c r="B156" t="s">
        <v>153</v>
      </c>
      <c r="C156">
        <v>25183</v>
      </c>
      <c r="D156">
        <v>28138</v>
      </c>
      <c r="E156">
        <v>-10.5</v>
      </c>
    </row>
    <row r="157" spans="1:5" x14ac:dyDescent="0.3">
      <c r="A157" t="s">
        <v>106</v>
      </c>
      <c r="B157" t="s">
        <v>154</v>
      </c>
      <c r="C157">
        <v>24887</v>
      </c>
      <c r="D157">
        <v>25183</v>
      </c>
      <c r="E157">
        <v>-1.2</v>
      </c>
    </row>
    <row r="158" spans="1:5" x14ac:dyDescent="0.3">
      <c r="A158" t="s">
        <v>119</v>
      </c>
      <c r="B158" t="s">
        <v>143</v>
      </c>
      <c r="C158">
        <v>3267</v>
      </c>
      <c r="D158" t="s">
        <v>157</v>
      </c>
      <c r="E158" t="s">
        <v>157</v>
      </c>
    </row>
    <row r="159" spans="1:5" x14ac:dyDescent="0.3">
      <c r="A159" t="s">
        <v>119</v>
      </c>
      <c r="B159" t="s">
        <v>144</v>
      </c>
      <c r="C159">
        <v>3019</v>
      </c>
      <c r="D159">
        <v>3267</v>
      </c>
      <c r="E159">
        <v>-7.6</v>
      </c>
    </row>
    <row r="160" spans="1:5" x14ac:dyDescent="0.3">
      <c r="A160" t="s">
        <v>119</v>
      </c>
      <c r="B160" t="s">
        <v>145</v>
      </c>
      <c r="C160">
        <v>3529</v>
      </c>
      <c r="D160">
        <v>3019</v>
      </c>
      <c r="E160">
        <v>16.899999999999999</v>
      </c>
    </row>
    <row r="161" spans="1:5" x14ac:dyDescent="0.3">
      <c r="A161" t="s">
        <v>119</v>
      </c>
      <c r="B161" t="s">
        <v>146</v>
      </c>
      <c r="C161">
        <v>3049</v>
      </c>
      <c r="D161">
        <v>3529</v>
      </c>
      <c r="E161">
        <v>-13.6</v>
      </c>
    </row>
    <row r="162" spans="1:5" x14ac:dyDescent="0.3">
      <c r="A162" t="s">
        <v>119</v>
      </c>
      <c r="B162" t="s">
        <v>147</v>
      </c>
      <c r="C162">
        <v>3273</v>
      </c>
      <c r="D162">
        <v>3049</v>
      </c>
      <c r="E162">
        <v>7.3</v>
      </c>
    </row>
    <row r="163" spans="1:5" x14ac:dyDescent="0.3">
      <c r="A163" t="s">
        <v>119</v>
      </c>
      <c r="B163" t="s">
        <v>148</v>
      </c>
      <c r="C163">
        <v>3260</v>
      </c>
      <c r="D163">
        <v>3273</v>
      </c>
      <c r="E163">
        <v>-0.4</v>
      </c>
    </row>
    <row r="164" spans="1:5" x14ac:dyDescent="0.3">
      <c r="A164" t="s">
        <v>119</v>
      </c>
      <c r="B164" t="s">
        <v>149</v>
      </c>
      <c r="C164">
        <v>3407</v>
      </c>
      <c r="D164">
        <v>3260</v>
      </c>
      <c r="E164">
        <v>4.5</v>
      </c>
    </row>
    <row r="165" spans="1:5" x14ac:dyDescent="0.3">
      <c r="A165" t="s">
        <v>119</v>
      </c>
      <c r="B165" t="s">
        <v>150</v>
      </c>
      <c r="C165">
        <v>3577</v>
      </c>
      <c r="D165">
        <v>3407</v>
      </c>
      <c r="E165">
        <v>5</v>
      </c>
    </row>
    <row r="166" spans="1:5" x14ac:dyDescent="0.3">
      <c r="A166" t="s">
        <v>119</v>
      </c>
      <c r="B166" t="s">
        <v>151</v>
      </c>
      <c r="C166">
        <v>3394</v>
      </c>
      <c r="D166">
        <v>3577</v>
      </c>
      <c r="E166">
        <v>-5.0999999999999996</v>
      </c>
    </row>
    <row r="167" spans="1:5" x14ac:dyDescent="0.3">
      <c r="A167" t="s">
        <v>119</v>
      </c>
      <c r="B167" t="s">
        <v>152</v>
      </c>
      <c r="C167">
        <v>4458</v>
      </c>
      <c r="D167">
        <v>3394</v>
      </c>
      <c r="E167">
        <v>31.3</v>
      </c>
    </row>
    <row r="168" spans="1:5" x14ac:dyDescent="0.3">
      <c r="A168" t="s">
        <v>119</v>
      </c>
      <c r="B168" t="s">
        <v>153</v>
      </c>
      <c r="C168">
        <v>3033</v>
      </c>
      <c r="D168">
        <v>4458</v>
      </c>
      <c r="E168">
        <v>-32</v>
      </c>
    </row>
    <row r="169" spans="1:5" x14ac:dyDescent="0.3">
      <c r="A169" t="s">
        <v>119</v>
      </c>
      <c r="B169" t="s">
        <v>154</v>
      </c>
      <c r="C169">
        <v>4787</v>
      </c>
      <c r="D169">
        <v>3033</v>
      </c>
      <c r="E169">
        <v>57.8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C401-F9B2-41A7-AC43-373D095E1AC7}">
  <dimension ref="A1:C15"/>
  <sheetViews>
    <sheetView workbookViewId="0">
      <selection sqref="A1:C15"/>
    </sheetView>
  </sheetViews>
  <sheetFormatPr defaultRowHeight="14.4" x14ac:dyDescent="0.3"/>
  <cols>
    <col min="2" max="2" width="11.109375" customWidth="1"/>
    <col min="3" max="3" width="11.88671875" customWidth="1"/>
  </cols>
  <sheetData>
    <row r="1" spans="1:3" x14ac:dyDescent="0.3">
      <c r="A1" t="s">
        <v>139</v>
      </c>
      <c r="B1" t="s">
        <v>158</v>
      </c>
      <c r="C1" t="s">
        <v>159</v>
      </c>
    </row>
    <row r="2" spans="1:3" x14ac:dyDescent="0.3">
      <c r="A2" t="s">
        <v>59</v>
      </c>
      <c r="B2">
        <v>1753525</v>
      </c>
      <c r="C2">
        <v>1</v>
      </c>
    </row>
    <row r="3" spans="1:3" x14ac:dyDescent="0.3">
      <c r="A3" t="s">
        <v>12</v>
      </c>
      <c r="B3">
        <v>606133</v>
      </c>
      <c r="C3">
        <v>2</v>
      </c>
    </row>
    <row r="4" spans="1:3" x14ac:dyDescent="0.3">
      <c r="A4" t="s">
        <v>97</v>
      </c>
      <c r="B4">
        <v>562899</v>
      </c>
      <c r="C4">
        <v>3</v>
      </c>
    </row>
    <row r="5" spans="1:3" x14ac:dyDescent="0.3">
      <c r="A5" t="s">
        <v>51</v>
      </c>
      <c r="B5">
        <v>528460</v>
      </c>
      <c r="C5">
        <v>4</v>
      </c>
    </row>
    <row r="6" spans="1:3" x14ac:dyDescent="0.3">
      <c r="A6" t="s">
        <v>106</v>
      </c>
      <c r="B6">
        <v>300159</v>
      </c>
      <c r="C6">
        <v>5</v>
      </c>
    </row>
    <row r="7" spans="1:3" x14ac:dyDescent="0.3">
      <c r="A7" t="s">
        <v>26</v>
      </c>
      <c r="B7">
        <v>245000</v>
      </c>
      <c r="C7">
        <v>6</v>
      </c>
    </row>
    <row r="8" spans="1:3" x14ac:dyDescent="0.3">
      <c r="A8" t="s">
        <v>6</v>
      </c>
      <c r="B8">
        <v>69872</v>
      </c>
      <c r="C8">
        <v>7</v>
      </c>
    </row>
    <row r="9" spans="1:3" x14ac:dyDescent="0.3">
      <c r="A9" t="s">
        <v>78</v>
      </c>
      <c r="B9">
        <v>61214</v>
      </c>
      <c r="C9">
        <v>8</v>
      </c>
    </row>
    <row r="10" spans="1:3" x14ac:dyDescent="0.3">
      <c r="A10" t="s">
        <v>119</v>
      </c>
      <c r="B10">
        <v>42053</v>
      </c>
      <c r="C10">
        <v>9</v>
      </c>
    </row>
    <row r="11" spans="1:3" x14ac:dyDescent="0.3">
      <c r="A11" t="s">
        <v>88</v>
      </c>
      <c r="B11">
        <v>41729</v>
      </c>
      <c r="C11">
        <v>10</v>
      </c>
    </row>
    <row r="12" spans="1:3" x14ac:dyDescent="0.3">
      <c r="A12" t="s">
        <v>92</v>
      </c>
      <c r="B12">
        <v>35157</v>
      </c>
      <c r="C12">
        <v>11</v>
      </c>
    </row>
    <row r="13" spans="1:3" x14ac:dyDescent="0.3">
      <c r="A13" t="s">
        <v>85</v>
      </c>
      <c r="B13">
        <v>29009</v>
      </c>
      <c r="C13">
        <v>12</v>
      </c>
    </row>
    <row r="14" spans="1:3" x14ac:dyDescent="0.3">
      <c r="A14" t="s">
        <v>1</v>
      </c>
      <c r="B14">
        <v>7448</v>
      </c>
      <c r="C14">
        <v>13</v>
      </c>
    </row>
    <row r="15" spans="1:3" x14ac:dyDescent="0.3">
      <c r="A15" t="s">
        <v>23</v>
      </c>
      <c r="B15">
        <v>4206</v>
      </c>
      <c r="C15">
        <v>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367D-64BD-4354-9265-DD0399EB6DB3}">
  <dimension ref="A1:D15"/>
  <sheetViews>
    <sheetView workbookViewId="0">
      <selection activeCell="D2" sqref="D2"/>
    </sheetView>
  </sheetViews>
  <sheetFormatPr defaultRowHeight="14.4" x14ac:dyDescent="0.3"/>
  <cols>
    <col min="2" max="3" width="9.5546875" customWidth="1"/>
    <col min="4" max="4" width="15.77734375" customWidth="1"/>
  </cols>
  <sheetData>
    <row r="1" spans="1:4" x14ac:dyDescent="0.3">
      <c r="A1" t="s">
        <v>139</v>
      </c>
      <c r="B1" t="s">
        <v>160</v>
      </c>
      <c r="C1" t="s">
        <v>161</v>
      </c>
      <c r="D1" t="s">
        <v>162</v>
      </c>
    </row>
    <row r="2" spans="1:4" x14ac:dyDescent="0.3">
      <c r="A2" t="s">
        <v>78</v>
      </c>
      <c r="B2">
        <v>13005</v>
      </c>
      <c r="C2">
        <v>20580</v>
      </c>
      <c r="D2">
        <v>58.25</v>
      </c>
    </row>
    <row r="3" spans="1:4" x14ac:dyDescent="0.3">
      <c r="A3" t="s">
        <v>92</v>
      </c>
      <c r="B3">
        <v>7433</v>
      </c>
      <c r="C3">
        <v>11519</v>
      </c>
      <c r="D3">
        <v>54.97</v>
      </c>
    </row>
    <row r="4" spans="1:4" x14ac:dyDescent="0.3">
      <c r="A4" t="s">
        <v>119</v>
      </c>
      <c r="B4">
        <v>9815</v>
      </c>
      <c r="C4">
        <v>12278</v>
      </c>
      <c r="D4">
        <v>25.09</v>
      </c>
    </row>
    <row r="5" spans="1:4" x14ac:dyDescent="0.3">
      <c r="A5" t="s">
        <v>51</v>
      </c>
      <c r="B5">
        <v>126100</v>
      </c>
      <c r="C5">
        <v>142150</v>
      </c>
      <c r="D5">
        <v>12.73</v>
      </c>
    </row>
    <row r="6" spans="1:4" x14ac:dyDescent="0.3">
      <c r="A6" t="s">
        <v>106</v>
      </c>
      <c r="B6">
        <v>71616</v>
      </c>
      <c r="C6">
        <v>78208</v>
      </c>
      <c r="D6">
        <v>9.1999999999999993</v>
      </c>
    </row>
    <row r="7" spans="1:4" x14ac:dyDescent="0.3">
      <c r="A7" t="s">
        <v>23</v>
      </c>
      <c r="B7">
        <v>1152</v>
      </c>
      <c r="C7">
        <v>1071</v>
      </c>
      <c r="D7">
        <v>-7.03</v>
      </c>
    </row>
    <row r="8" spans="1:4" x14ac:dyDescent="0.3">
      <c r="A8" t="s">
        <v>85</v>
      </c>
      <c r="B8">
        <v>8319</v>
      </c>
      <c r="C8">
        <v>7581</v>
      </c>
      <c r="D8">
        <v>-8.8699999999999992</v>
      </c>
    </row>
    <row r="9" spans="1:4" x14ac:dyDescent="0.3">
      <c r="A9" t="s">
        <v>12</v>
      </c>
      <c r="B9">
        <v>160317</v>
      </c>
      <c r="C9">
        <v>146022</v>
      </c>
      <c r="D9">
        <v>-8.92</v>
      </c>
    </row>
    <row r="10" spans="1:4" x14ac:dyDescent="0.3">
      <c r="A10" t="s">
        <v>59</v>
      </c>
      <c r="B10">
        <v>477893</v>
      </c>
      <c r="C10">
        <v>431018</v>
      </c>
      <c r="D10">
        <v>-9.81</v>
      </c>
    </row>
    <row r="11" spans="1:4" x14ac:dyDescent="0.3">
      <c r="A11" t="s">
        <v>97</v>
      </c>
      <c r="B11">
        <v>155010</v>
      </c>
      <c r="C11">
        <v>139417</v>
      </c>
      <c r="D11">
        <v>-10.06</v>
      </c>
    </row>
    <row r="12" spans="1:4" x14ac:dyDescent="0.3">
      <c r="A12" t="s">
        <v>1</v>
      </c>
      <c r="B12">
        <v>2077</v>
      </c>
      <c r="C12">
        <v>1792</v>
      </c>
      <c r="D12">
        <v>-13.72</v>
      </c>
    </row>
    <row r="13" spans="1:4" x14ac:dyDescent="0.3">
      <c r="A13" t="s">
        <v>26</v>
      </c>
      <c r="B13">
        <v>65369</v>
      </c>
      <c r="C13">
        <v>52310</v>
      </c>
      <c r="D13">
        <v>-19.98</v>
      </c>
    </row>
    <row r="14" spans="1:4" x14ac:dyDescent="0.3">
      <c r="A14" t="s">
        <v>88</v>
      </c>
      <c r="B14">
        <v>12131</v>
      </c>
      <c r="C14">
        <v>9562</v>
      </c>
      <c r="D14">
        <v>-21.18</v>
      </c>
    </row>
    <row r="15" spans="1:4" x14ac:dyDescent="0.3">
      <c r="A15" t="s">
        <v>6</v>
      </c>
      <c r="B15">
        <v>22894</v>
      </c>
      <c r="C15">
        <v>17376</v>
      </c>
      <c r="D15">
        <v>-24.1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8367-FDBC-4BF9-98D2-F42A746625DF}">
  <dimension ref="A1:C15"/>
  <sheetViews>
    <sheetView workbookViewId="0">
      <selection activeCell="E5" sqref="E5"/>
    </sheetView>
  </sheetViews>
  <sheetFormatPr defaultRowHeight="14.4" x14ac:dyDescent="0.3"/>
  <cols>
    <col min="3" max="3" width="11.44140625" customWidth="1"/>
    <col min="4" max="4" width="10.33203125" bestFit="1" customWidth="1"/>
    <col min="5" max="5" width="11.109375" customWidth="1"/>
  </cols>
  <sheetData>
    <row r="1" spans="1:3" x14ac:dyDescent="0.3">
      <c r="A1" t="s">
        <v>139</v>
      </c>
      <c r="B1" t="s">
        <v>0</v>
      </c>
      <c r="C1" t="s">
        <v>163</v>
      </c>
    </row>
    <row r="2" spans="1:3" x14ac:dyDescent="0.3">
      <c r="A2" t="s">
        <v>97</v>
      </c>
      <c r="B2" t="s">
        <v>102</v>
      </c>
      <c r="C2">
        <v>202031</v>
      </c>
    </row>
    <row r="3" spans="1:3" x14ac:dyDescent="0.3">
      <c r="A3" t="s">
        <v>59</v>
      </c>
      <c r="B3" t="s">
        <v>76</v>
      </c>
      <c r="C3">
        <v>190855</v>
      </c>
    </row>
    <row r="4" spans="1:3" x14ac:dyDescent="0.3">
      <c r="A4" t="s">
        <v>12</v>
      </c>
      <c r="B4" t="s">
        <v>14</v>
      </c>
      <c r="C4">
        <v>186919</v>
      </c>
    </row>
    <row r="5" spans="1:3" x14ac:dyDescent="0.3">
      <c r="A5" t="s">
        <v>51</v>
      </c>
      <c r="B5" t="s">
        <v>54</v>
      </c>
      <c r="C5">
        <v>166364</v>
      </c>
    </row>
    <row r="6" spans="1:3" x14ac:dyDescent="0.3">
      <c r="A6" t="s">
        <v>106</v>
      </c>
      <c r="B6" t="s">
        <v>113</v>
      </c>
      <c r="C6">
        <v>106900</v>
      </c>
    </row>
    <row r="7" spans="1:3" x14ac:dyDescent="0.3">
      <c r="A7" t="s">
        <v>26</v>
      </c>
      <c r="B7" t="s">
        <v>32</v>
      </c>
      <c r="C7">
        <v>106690</v>
      </c>
    </row>
    <row r="8" spans="1:3" x14ac:dyDescent="0.3">
      <c r="A8" t="s">
        <v>6</v>
      </c>
      <c r="B8" t="s">
        <v>7</v>
      </c>
      <c r="C8">
        <v>30690</v>
      </c>
    </row>
    <row r="9" spans="1:3" x14ac:dyDescent="0.3">
      <c r="A9" t="s">
        <v>85</v>
      </c>
      <c r="B9" t="s">
        <v>86</v>
      </c>
      <c r="C9">
        <v>28987</v>
      </c>
    </row>
    <row r="10" spans="1:3" x14ac:dyDescent="0.3">
      <c r="A10" t="s">
        <v>88</v>
      </c>
      <c r="B10" t="s">
        <v>91</v>
      </c>
      <c r="C10">
        <v>22024</v>
      </c>
    </row>
    <row r="11" spans="1:3" x14ac:dyDescent="0.3">
      <c r="A11" t="s">
        <v>119</v>
      </c>
      <c r="B11" t="s">
        <v>122</v>
      </c>
      <c r="C11">
        <v>21210</v>
      </c>
    </row>
    <row r="12" spans="1:3" x14ac:dyDescent="0.3">
      <c r="A12" t="s">
        <v>78</v>
      </c>
      <c r="B12" t="s">
        <v>82</v>
      </c>
      <c r="C12">
        <v>19639</v>
      </c>
    </row>
    <row r="13" spans="1:3" x14ac:dyDescent="0.3">
      <c r="A13" t="s">
        <v>92</v>
      </c>
      <c r="B13" t="s">
        <v>94</v>
      </c>
      <c r="C13">
        <v>17567</v>
      </c>
    </row>
    <row r="14" spans="1:3" x14ac:dyDescent="0.3">
      <c r="A14" t="s">
        <v>23</v>
      </c>
      <c r="B14" t="s">
        <v>24</v>
      </c>
      <c r="C14">
        <v>2988</v>
      </c>
    </row>
    <row r="15" spans="1:3" x14ac:dyDescent="0.3">
      <c r="A15" t="s">
        <v>1</v>
      </c>
      <c r="B15" t="s">
        <v>2</v>
      </c>
      <c r="C15">
        <v>2890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3632F2-0C14-41B7-86C3-780595CD79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Imputed Sheet</vt:lpstr>
      <vt:lpstr>Model-wise Total Sales</vt:lpstr>
      <vt:lpstr>Forecasts</vt:lpstr>
      <vt:lpstr>per month market share by brand</vt:lpstr>
      <vt:lpstr>MoM growth rate for each brand</vt:lpstr>
      <vt:lpstr>Brand Rank by annual sales</vt:lpstr>
      <vt:lpstr>q1_vs_q4 growth</vt:lpstr>
      <vt:lpstr>top model of each brand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Chakraborty</dc:creator>
  <cp:lastModifiedBy>Samadrita Mazumder</cp:lastModifiedBy>
  <dcterms:created xsi:type="dcterms:W3CDTF">2025-01-12T19:49:18Z</dcterms:created>
  <dcterms:modified xsi:type="dcterms:W3CDTF">2026-09-27T11:09:47Z</dcterms:modified>
</cp:coreProperties>
</file>